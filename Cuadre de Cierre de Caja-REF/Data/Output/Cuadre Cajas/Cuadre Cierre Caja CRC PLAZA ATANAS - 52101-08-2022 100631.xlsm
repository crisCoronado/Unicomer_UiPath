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ian_coronado\Documents\UiPath\Cuadre de Cierre de Caja-REF\Data\Output\Cuadre Cajas\"/>
    </mc:Choice>
  </mc:AlternateContent>
  <xr:revisionPtr revIDLastSave="0" documentId="13_ncr:1_{C2A8CEDC-71C9-41F2-8984-4891D3A934FD}" xr6:coauthVersionLast="47" xr6:coauthVersionMax="47" xr10:uidLastSave="{00000000-0000-0000-0000-000000000000}"/>
  <bookViews>
    <workbookView xWindow="1170" yWindow="1170" windowWidth="21600" windowHeight="11385" xr2:uid="{00000000-000D-0000-FFFF-FFFF00000000}"/>
  </bookViews>
  <sheets>
    <sheet name="Cierre" sheetId="6" r:id="rId1"/>
    <sheet name="tblTarjetas" sheetId="7" state="hidden" r:id="rId2"/>
    <sheet name="Tarjetas" sheetId="1" state="hidden" r:id="rId3"/>
    <sheet name="tblDepositos" sheetId="8" state="hidden" r:id="rId4"/>
    <sheet name="Depositos" sheetId="2" state="hidden" r:id="rId5"/>
    <sheet name="tblTransaccional" sheetId="9" state="hidden" r:id="rId6"/>
    <sheet name="Transaccional" sheetId="5" state="hidden" r:id="rId7"/>
  </sheets>
  <calcPr calcId="162913"/>
  <pivotCaches>
    <pivotCache cacheId="36" r:id="rId8"/>
    <pivotCache cacheId="37" r:id="rId9"/>
    <pivotCache cacheId="38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<sst xmlns="http://schemas.openxmlformats.org/spreadsheetml/2006/main" count="540" uniqueCount="192">
  <si>
    <t>NÚMERO TRANSACCION</t>
  </si>
  <si>
    <t>DESC CUENTA</t>
  </si>
  <si>
    <t>CENTRO ANALISIS</t>
  </si>
  <si>
    <t>RI</t>
  </si>
  <si>
    <t>NO CAJA</t>
  </si>
  <si>
    <t>DESC ALMACEN</t>
  </si>
  <si>
    <t>REFERENCIA</t>
  </si>
  <si>
    <t>PERIODO CONTABLE</t>
  </si>
  <si>
    <t>FECHA AUTORIZACIÓN</t>
  </si>
  <si>
    <t>TIPO PROMOCIÓN</t>
  </si>
  <si>
    <t>MONEDA</t>
  </si>
  <si>
    <t>MONTO</t>
  </si>
  <si>
    <t>NUMERO CONFIRMADO</t>
  </si>
  <si>
    <t>Monto Confirmado</t>
  </si>
  <si>
    <t>Diferencia</t>
  </si>
  <si>
    <t>TASA DE CAMBIO</t>
  </si>
  <si>
    <t>MONTO MNL</t>
  </si>
  <si>
    <t>ESTADO</t>
  </si>
  <si>
    <t>FECHA BANCO</t>
  </si>
  <si>
    <t>NÚMERO DE DEPOSITO</t>
  </si>
  <si>
    <t>NÚMERO CCF</t>
  </si>
  <si>
    <t>FECHA CONFIRMACION</t>
  </si>
  <si>
    <t>FECHA CONTABLE</t>
  </si>
  <si>
    <t>EMPLEADO</t>
  </si>
  <si>
    <t>ACTUALIZADO POR</t>
  </si>
  <si>
    <t>Compañia</t>
  </si>
  <si>
    <t>Período</t>
  </si>
  <si>
    <t>Tipo</t>
  </si>
  <si>
    <t>Número Transacción</t>
  </si>
  <si>
    <t>Centro Analisis</t>
  </si>
  <si>
    <t>Tienda</t>
  </si>
  <si>
    <t>Desc Almacen</t>
  </si>
  <si>
    <t>Caja</t>
  </si>
  <si>
    <t>Estado</t>
  </si>
  <si>
    <t>Fecha deposito</t>
  </si>
  <si>
    <t>Numero Deposito</t>
  </si>
  <si>
    <t>Numero Cuenta</t>
  </si>
  <si>
    <t>Desc Cuenta</t>
  </si>
  <si>
    <t>Moneda</t>
  </si>
  <si>
    <t>Monto</t>
  </si>
  <si>
    <t>Fecha Banco</t>
  </si>
  <si>
    <t>Número Déposito Confirmado</t>
  </si>
  <si>
    <t>Número Cuenta Confirmada</t>
  </si>
  <si>
    <t>Tasa de Cambio</t>
  </si>
  <si>
    <t>Monto MNL</t>
  </si>
  <si>
    <t>Motivo</t>
  </si>
  <si>
    <t>Fecha confirmacion</t>
  </si>
  <si>
    <t>Fecha Contabilización</t>
  </si>
  <si>
    <t>Empleado</t>
  </si>
  <si>
    <t>Actualizado por</t>
  </si>
  <si>
    <t>CADENA</t>
  </si>
  <si>
    <t>TIENDA</t>
  </si>
  <si>
    <t>CDA</t>
  </si>
  <si>
    <t>CAJA</t>
  </si>
  <si>
    <t>FECHA TRANSACCION</t>
  </si>
  <si>
    <t>CORRELATIVO CAJA</t>
  </si>
  <si>
    <t>No. TRANSACCION</t>
  </si>
  <si>
    <t>TRANSACCION ORIGINAL (Devolución)</t>
  </si>
  <si>
    <t>TRANSACCIÓN CAJA ORIGINAL(Devolución)</t>
  </si>
  <si>
    <t>No. DOCUMENTO</t>
  </si>
  <si>
    <t>NUMERO DE SOLICITUD</t>
  </si>
  <si>
    <t>TIPO DOCUMENTO</t>
  </si>
  <si>
    <t>TRANSACCIONES CAJA</t>
  </si>
  <si>
    <t>FORMA DE PAGO</t>
  </si>
  <si>
    <t>CODIGO DE RAZON</t>
  </si>
  <si>
    <t>NUM_COTIZACON</t>
  </si>
  <si>
    <t>NUM_CUENTA</t>
  </si>
  <si>
    <t>NOMBRE_CLIENTE</t>
  </si>
  <si>
    <t>BANCO</t>
  </si>
  <si>
    <t>AUTORIZACION</t>
  </si>
  <si>
    <t>PROMOCION</t>
  </si>
  <si>
    <t>Union Comercial de Guatemala, S.A. - Banco G&amp;T Continental, S.A.</t>
  </si>
  <si>
    <t>UNICOMER-LA CURACAO PLAZA ATANASIO TZUL</t>
  </si>
  <si>
    <t>29/07/2022</t>
  </si>
  <si>
    <t>TARJETA</t>
  </si>
  <si>
    <t>GTQ</t>
  </si>
  <si>
    <t>NOC</t>
  </si>
  <si>
    <t>SILVIA PATRICIA IXCAYAU CASTRO</t>
  </si>
  <si>
    <t>system</t>
  </si>
  <si>
    <t>Union Comercial de Guatemala, S.A. - Banco de America Central, S.A.</t>
  </si>
  <si>
    <t>CREDOMATIC 10 PAGOS</t>
  </si>
  <si>
    <t>VISANET 10 PAGOS</t>
  </si>
  <si>
    <t>VISANET 3 PAGOS</t>
  </si>
  <si>
    <t>VISANET 36 PAGO</t>
  </si>
  <si>
    <t>Etiquetas de columna</t>
  </si>
  <si>
    <t>Total general</t>
  </si>
  <si>
    <t>Etiquetas de fila</t>
  </si>
  <si>
    <t>Suma de MONTO</t>
  </si>
  <si>
    <t>UNICOSERVI</t>
  </si>
  <si>
    <t>CSH</t>
  </si>
  <si>
    <t>12521000082320220729</t>
  </si>
  <si>
    <t>000-000908-4</t>
  </si>
  <si>
    <t>Banco Industrial, S.A.</t>
  </si>
  <si>
    <t>UNICOMER</t>
  </si>
  <si>
    <t>000-063091-3</t>
  </si>
  <si>
    <t>BLUESTART GUATEMALA, S.A.</t>
  </si>
  <si>
    <t>NRGL</t>
  </si>
  <si>
    <t>066-0030603-2</t>
  </si>
  <si>
    <t>Banco G&amp;T C</t>
  </si>
  <si>
    <t>Suma de Monto</t>
  </si>
  <si>
    <t>LA CURACAO</t>
  </si>
  <si>
    <t>CRC PLAZA ATANAS</t>
  </si>
  <si>
    <t>12521099800720220729</t>
  </si>
  <si>
    <t>A29F857682068540</t>
  </si>
  <si>
    <t>Factura Consumidor Final</t>
  </si>
  <si>
    <t>Venta Cotización contado</t>
  </si>
  <si>
    <t>Tarjeta de Credito</t>
  </si>
  <si>
    <t>12521201220HFT</t>
  </si>
  <si>
    <t/>
  </si>
  <si>
    <t xml:space="preserve">GUARITO    EXPRESS S.A  </t>
  </si>
  <si>
    <t>BANCO PROMERICA, S.A.|1-233105</t>
  </si>
  <si>
    <t>Visanet3Pagos</t>
  </si>
  <si>
    <t>12521099799920220729</t>
  </si>
  <si>
    <t>40BF674A385697967</t>
  </si>
  <si>
    <t>12521201220HFP</t>
  </si>
  <si>
    <t xml:space="preserve">DIEGO   SANTOS  </t>
  </si>
  <si>
    <t>BANCO DE AMÉRICA CENTRAL, S.A</t>
  </si>
  <si>
    <t>Card</t>
  </si>
  <si>
    <t>12521099797920220729</t>
  </si>
  <si>
    <t>FB715A4F1028866941</t>
  </si>
  <si>
    <t>Efectivo</t>
  </si>
  <si>
    <t>12521202220FGQ</t>
  </si>
  <si>
    <t xml:space="preserve">REYNA   RODRIGUEZ  </t>
  </si>
  <si>
    <t>12521099798920220729</t>
  </si>
  <si>
    <t>8213985B2975023118</t>
  </si>
  <si>
    <t>12521201220HFK</t>
  </si>
  <si>
    <t xml:space="preserve">CARLOS   VASQUEZ  </t>
  </si>
  <si>
    <t>BANCO DE DESARROLLO RURAL, S.A</t>
  </si>
  <si>
    <t>12521099797020220729</t>
  </si>
  <si>
    <t>B090DD551556365999</t>
  </si>
  <si>
    <t>12521202220FGP</t>
  </si>
  <si>
    <t xml:space="preserve">OGLA   SAPON  </t>
  </si>
  <si>
    <t>Visanet36Pago</t>
  </si>
  <si>
    <t>12521099796320220729</t>
  </si>
  <si>
    <t>80EA67921218792289</t>
  </si>
  <si>
    <t>12521201220HFB</t>
  </si>
  <si>
    <t xml:space="preserve">PEDRO   LOPEZ  </t>
  </si>
  <si>
    <t>BANCO INDUSTRIAL, S.A.|000-063</t>
  </si>
  <si>
    <t>12521099797320220729</t>
  </si>
  <si>
    <t>B243248F3838070321</t>
  </si>
  <si>
    <t>12521201220HFF</t>
  </si>
  <si>
    <t xml:space="preserve">JONATAN   MORALES  </t>
  </si>
  <si>
    <t>12521099800020220729</t>
  </si>
  <si>
    <t>D9E154F63009692786</t>
  </si>
  <si>
    <t>12521202220FGX</t>
  </si>
  <si>
    <t xml:space="preserve">JONNATHAN   GALINDO  </t>
  </si>
  <si>
    <t>12521099796020220729</t>
  </si>
  <si>
    <t>CF4F8EC4126175185</t>
  </si>
  <si>
    <t>12521202220FGK</t>
  </si>
  <si>
    <t xml:space="preserve">LILIAN    GARCIA  </t>
  </si>
  <si>
    <t>12521099800620220729</t>
  </si>
  <si>
    <t>168003A2320946894</t>
  </si>
  <si>
    <t>125212042206XC</t>
  </si>
  <si>
    <t xml:space="preserve">CLAUDIA AZUCELY  RAMIREZ VASQUEZ </t>
  </si>
  <si>
    <t>12521099799120220729</t>
  </si>
  <si>
    <t>DB91AA2B306990205</t>
  </si>
  <si>
    <t>12521201220HFL</t>
  </si>
  <si>
    <t xml:space="preserve">JOSE   VASQUEZ  </t>
  </si>
  <si>
    <t>12521099800520220729</t>
  </si>
  <si>
    <t>4CD81A7C2940879601</t>
  </si>
  <si>
    <t>12521201220HFS</t>
  </si>
  <si>
    <t xml:space="preserve">PABLO   CARRASCOZA  </t>
  </si>
  <si>
    <t>Credomatic10Pagos</t>
  </si>
  <si>
    <t>12521099796820220729</t>
  </si>
  <si>
    <t>F9C9885B669797682</t>
  </si>
  <si>
    <t>12521202220FGM</t>
  </si>
  <si>
    <t>BRENDA LETICIA VELASQUEZ SONTAY</t>
  </si>
  <si>
    <t>12521099797420220729</t>
  </si>
  <si>
    <t>A608C686522535270</t>
  </si>
  <si>
    <t>125212042206XB</t>
  </si>
  <si>
    <t>12521099799820220729</t>
  </si>
  <si>
    <t>C901C8922831107477</t>
  </si>
  <si>
    <t>12521202220FGV</t>
  </si>
  <si>
    <t>JIMMY ALEXANDER GALINDO LEON</t>
  </si>
  <si>
    <t>Visanet10Pagos</t>
  </si>
  <si>
    <t>(en blanco)</t>
  </si>
  <si>
    <t>Total Venta Cotización contado</t>
  </si>
  <si>
    <t>Total 29/07/2022</t>
  </si>
  <si>
    <t>Total 50210</t>
  </si>
  <si>
    <t>Total CRC PLAZA ATANAS</t>
  </si>
  <si>
    <t>CIA</t>
  </si>
  <si>
    <t>INHOUSE DEP-TC</t>
  </si>
  <si>
    <t>INGRESOS CORTE DE CAJA</t>
  </si>
  <si>
    <t>CIERRE P.O.S.</t>
  </si>
  <si>
    <t>VENTAS TC INTERNET</t>
  </si>
  <si>
    <t>VISALINK</t>
  </si>
  <si>
    <t>TRASLADOS</t>
  </si>
  <si>
    <t>DIFERENCIA</t>
  </si>
  <si>
    <t>OBSERVACIÓN</t>
  </si>
  <si>
    <t>BLUESTART</t>
  </si>
  <si>
    <t>TARJETAS</t>
  </si>
  <si>
    <t>Columna1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</si>
</sst>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8"/>
      <color theme="1"/>
      <name val="Eras Medium ITC"/>
      <family val="2"/>
    </font>
  </fonts>
  <fills count="3">
    <fill>
      <patternFill patternType="none"/>
    </fill>
    <fill>
      <patternFill patternType="gray125"/>
    </fill>
    <fill>
      <patternFill patternType="solid">
        <fgColor rgb="FFCFE0F1"/>
      </patternFill>
    </fill>
  </fills>
  <borders count="2">
    <border>
      <left/>
      <right/>
      <top/>
      <bottom/>
      <diagonal/>
    </border>
    <border>
      <left style="thin">
        <color rgb="FF777777"/>
      </left>
      <right style="thin">
        <color rgb="FF777777"/>
      </right>
      <top/>
      <bottom style="thin">
        <color rgb="FF777777"/>
      </bottom>
      <diagonal/>
    </border>
  </borders>
  <cellStyleXfs count="1">
    <xf numFmtId="0" fontId="0" fillId="0" borderId="0"/>
  </cellStyleXfs>
  <cellXfs count="10">
    <xf numFmtId="0" fontId="0" fillId="0" borderId="0" xfId="0"/>
    <xf numFmtId="17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3" fontId="0" fillId="0" borderId="0" xfId="0" applyNumberFormat="1"/>
    <xf numFmtId="0" fontId="0" fillId="0" borderId="0" xfId="0" quotePrefix="1"/>
    <xf numFmtId="14" fontId="0" fillId="0" borderId="0" xfId="0" applyNumberFormat="1"/>
  </cellXfs>
  <cellStyles count="1">
    <cellStyle name="Normal" xfId="0" builtinId="0"/>
  </cellStyles>
  <dxfs count="12">
    <dxf>
      <numFmt numFmtId="164" formatCode="m/d/yy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  <dxf>
      <numFmt numFmtId="22" formatCode="mmm\-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  <dxf>
      <numFmt numFmtId="22" formatCode="mmm\-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1218634256" createdVersion="3" refreshedVersion="8" minRefreshableVersion="3" recordCount="22" xr:uid="{2EF5F887-0955-464C-AABD-2C67D4A84522}">
  <cacheSource type="worksheet">
    <worksheetSource name="Tabla1"/>
  </cacheSource>
  <cacheFields count="25">
    <cacheField name="NÚMERO TRANSACCION" numFmtId="0">
      <sharedItems containsSemiMixedTypes="0" containsString="0" containsNumber="1" containsInteger="1" minValue="1.2521099796020199E+19" maxValue="1.25210998007202E+19"/>
    </cacheField>
    <cacheField name="DESC CUENTA" numFmtId="0">
      <sharedItems/>
    </cacheField>
    <cacheField name="CENTRO ANALISIS" numFmtId="0">
      <sharedItems containsSemiMixedTypes="0" containsString="0" containsNumber="1" containsInteger="1" minValue="50210" maxValue="50210" count="1">
        <n v="50210"/>
      </sharedItems>
    </cacheField>
    <cacheField name="RI" numFmtId="0">
      <sharedItems containsSemiMixedTypes="0" containsString="0" containsNumber="1" containsInteger="1" minValue="521" maxValue="521"/>
    </cacheField>
    <cacheField name="NO CAJA" numFmtId="0">
      <sharedItems containsSemiMixedTypes="0" containsString="0" containsNumber="1" containsInteger="1" minValue="99" maxValue="99"/>
    </cacheField>
    <cacheField name="DESC ALMACEN" numFmtId="0">
      <sharedItems count="1">
        <s v="UNICOMER-LA CURACAO PLAZA ATANASIO TZUL"/>
      </sharedItems>
    </cacheField>
    <cacheField name="REFERENCIA" numFmtId="0">
      <sharedItems containsSemiMixedTypes="0" containsString="0" containsNumber="1" containsInteger="1" minValue="1810" maxValue="998278"/>
    </cacheField>
    <cacheField name="PERIODO CONTABLE" numFmtId="17">
      <sharedItems containsSemiMixedTypes="0" containsNonDate="0" containsDate="1" containsString="0" minDate="2022-07-01T00:00:00" maxDate="2022-07-02T00:00:00"/>
    </cacheField>
    <cacheField name="FECHA AUTORIZACIÓN" numFmtId="0">
      <sharedItems count="1">
        <s v="29/07/2022"/>
      </sharedItems>
    </cacheField>
    <cacheField name="TIPO PROMOCIÓN" numFmtId="0">
      <sharedItems/>
    </cacheField>
    <cacheField name="MONEDA" numFmtId="0">
      <sharedItems/>
    </cacheField>
    <cacheField name="MONTO" numFmtId="0">
      <sharedItems containsSemiMixedTypes="0" containsString="0" containsNumber="1" minValue="97" maxValue="6714"/>
    </cacheField>
    <cacheField name="NUMERO CONFIRMADO" numFmtId="0">
      <sharedItems containsNonDate="0" containsString="0" containsBlank="1"/>
    </cacheField>
    <cacheField name="Monto Confirmado" numFmtId="0">
      <sharedItems containsNonDate="0" containsString="0" containsBlank="1"/>
    </cacheField>
    <cacheField name="Diferencia" numFmtId="0">
      <sharedItems containsNonDate="0" containsString="0" containsBlank="1"/>
    </cacheField>
    <cacheField name="TASA DE CAMBIO" numFmtId="0">
      <sharedItems containsSemiMixedTypes="0" containsString="0" containsNumber="1" containsInteger="1" minValue="1" maxValue="1"/>
    </cacheField>
    <cacheField name="MONTO MNL" numFmtId="0">
      <sharedItems containsSemiMixedTypes="0" containsString="0" containsNumber="1" minValue="97" maxValue="6714"/>
    </cacheField>
    <cacheField name="ESTADO" numFmtId="0">
      <sharedItems count="1">
        <s v="NOC"/>
      </sharedItems>
    </cacheField>
    <cacheField name="FECHA BANCO" numFmtId="0">
      <sharedItems containsNonDate="0" containsString="0" containsBlank="1"/>
    </cacheField>
    <cacheField name="NÚMERO DE DEPOSITO" numFmtId="0">
      <sharedItems containsNonDate="0" containsString="0" containsBlank="1"/>
    </cacheField>
    <cacheField name="NÚMERO CCF" numFmtId="0">
      <sharedItems containsNonDate="0" containsString="0" containsBlank="1"/>
    </cacheField>
    <cacheField name="FECHA CONFIRMACION" numFmtId="0">
      <sharedItems containsNonDate="0" containsString="0" containsBlank="1"/>
    </cacheField>
    <cacheField name="FECHA CONTABLE" numFmtId="0">
      <sharedItems containsNonDate="0" containsString="0" containsBlank="1"/>
    </cacheField>
    <cacheField name="EMPLEADO" numFmtId="0">
      <sharedItems/>
    </cacheField>
    <cacheField name="ACTUALIZADO PO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1247337959" createdVersion="3" refreshedVersion="8" minRefreshableVersion="3" recordCount="3" xr:uid="{83AEE055-4F9C-473B-9230-DE4A249F90CA}">
  <cacheSource type="worksheet">
    <worksheetSource name="Tabla2"/>
  </cacheSource>
  <cacheFields count="27">
    <cacheField name="Compañia" numFmtId="0">
      <sharedItems count="3">
        <s v="UNICOSERVI"/>
        <s v="UNICOMER"/>
        <s v="BLUESTART GUATEMALA, S.A."/>
      </sharedItems>
    </cacheField>
    <cacheField name="Período" numFmtId="17">
      <sharedItems containsSemiMixedTypes="0" containsNonDate="0" containsDate="1" containsString="0" minDate="2022-07-01T00:00:00" maxDate="2022-07-02T00:00:00"/>
    </cacheField>
    <cacheField name="Tipo" numFmtId="0">
      <sharedItems/>
    </cacheField>
    <cacheField name="Número Transacción" numFmtId="0">
      <sharedItems/>
    </cacheField>
    <cacheField name="Centro Analisis" numFmtId="0">
      <sharedItems containsSemiMixedTypes="0" containsString="0" containsNumber="1" containsInteger="1" minValue="50210" maxValue="50210" count="1">
        <n v="50210"/>
      </sharedItems>
    </cacheField>
    <cacheField name="Tienda" numFmtId="0">
      <sharedItems containsSemiMixedTypes="0" containsString="0" containsNumber="1" containsInteger="1" minValue="12521" maxValue="12521"/>
    </cacheField>
    <cacheField name="Desc Almacen" numFmtId="0">
      <sharedItems count="1">
        <s v="UNICOMER-LA CURACAO PLAZA ATANASIO TZUL"/>
      </sharedItems>
    </cacheField>
    <cacheField name="Caja" numFmtId="0">
      <sharedItems containsSemiMixedTypes="0" containsString="0" containsNumber="1" containsInteger="1" minValue="99" maxValue="99"/>
    </cacheField>
    <cacheField name="Estado" numFmtId="0">
      <sharedItems/>
    </cacheField>
    <cacheField name="Fecha deposito" numFmtId="0">
      <sharedItems count="1">
        <s v="29/07/2022"/>
      </sharedItems>
    </cacheField>
    <cacheField name="Numero Deposito" numFmtId="0">
      <sharedItems containsSemiMixedTypes="0" containsString="0" containsNumber="1" containsInteger="1" minValue="9475669" maxValue="85079071"/>
    </cacheField>
    <cacheField name="Numero Cuenta" numFmtId="0">
      <sharedItems/>
    </cacheField>
    <cacheField name="Desc Cuenta" numFmtId="0">
      <sharedItems/>
    </cacheField>
    <cacheField name="Moneda" numFmtId="0">
      <sharedItems/>
    </cacheField>
    <cacheField name="Monto" numFmtId="0">
      <sharedItems containsSemiMixedTypes="0" containsString="0" containsNumber="1" minValue="200" maxValue="10419.700000000001"/>
    </cacheField>
    <cacheField name="Fecha Banco" numFmtId="0">
      <sharedItems containsNonDate="0" containsString="0" containsBlank="1"/>
    </cacheField>
    <cacheField name="Número Déposito Confirmado" numFmtId="0">
      <sharedItems containsNonDate="0" containsString="0" containsBlank="1"/>
    </cacheField>
    <cacheField name="Número Cuenta Confirmada" numFmtId="0">
      <sharedItems containsNonDate="0" containsString="0" containsBlank="1"/>
    </cacheField>
    <cacheField name="Monto Confirmado" numFmtId="0">
      <sharedItems containsSemiMixedTypes="0" containsString="0" containsNumber="1" minValue="200" maxValue="10419.700000000001"/>
    </cacheField>
    <cacheField name="Diferencia" numFmtId="0">
      <sharedItems containsNonDate="0" containsString="0" containsBlank="1"/>
    </cacheField>
    <cacheField name="Tasa de Cambio" numFmtId="0">
      <sharedItems containsSemiMixedTypes="0" containsString="0" containsNumber="1" containsInteger="1" minValue="1" maxValue="1"/>
    </cacheField>
    <cacheField name="Monto MNL" numFmtId="0">
      <sharedItems containsSemiMixedTypes="0" containsString="0" containsNumber="1" minValue="200" maxValue="10419.700000000001"/>
    </cacheField>
    <cacheField name="Motivo" numFmtId="0">
      <sharedItems containsNonDate="0" containsString="0" containsBlank="1"/>
    </cacheField>
    <cacheField name="Fecha confirmacion" numFmtId="0">
      <sharedItems containsNonDate="0" containsString="0" containsBlank="1"/>
    </cacheField>
    <cacheField name="Fecha Contabilización" numFmtId="0">
      <sharedItems containsNonDate="0" containsString="0" containsBlank="1"/>
    </cacheField>
    <cacheField name="Empleado" numFmtId="0">
      <sharedItems/>
    </cacheField>
    <cacheField name="Actualizado po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1311805556" createdVersion="3" refreshedVersion="8" minRefreshableVersion="3" recordCount="16" xr:uid="{A05E5044-A68E-48EA-A8E0-61425AE7B458}">
  <cacheSource type="worksheet">
    <worksheetSource name="Tabla3"/>
  </cacheSource>
  <cacheFields count="22">
    <cacheField name="CADENA" numFmtId="0">
      <sharedItems/>
    </cacheField>
    <cacheField name="TIENDA" numFmtId="0">
      <sharedItems count="1">
        <s v="CRC PLAZA ATANAS"/>
      </sharedItems>
    </cacheField>
    <cacheField name="CDA" numFmtId="0">
      <sharedItems containsSemiMixedTypes="0" containsString="0" containsNumber="1" containsInteger="1" minValue="50210" maxValue="50210" count="1">
        <n v="50210"/>
      </sharedItems>
    </cacheField>
    <cacheField name="CAJA" numFmtId="0">
      <sharedItems containsSemiMixedTypes="0" containsString="0" containsNumber="1" containsInteger="1" minValue="99" maxValue="99"/>
    </cacheField>
    <cacheField name="FECHA TRANSACCION" numFmtId="14">
      <sharedItems containsSemiMixedTypes="0" containsNonDate="0" containsDate="1" containsString="0" minDate="2022-07-29T00:00:00" maxDate="2022-07-30T00:00:00" count="1">
        <d v="2022-07-29T00:00:00"/>
      </sharedItems>
    </cacheField>
    <cacheField name="CORRELATIVO CAJA" numFmtId="0">
      <sharedItems containsSemiMixedTypes="0" containsString="0" containsNumber="1" containsInteger="1" minValue="7960" maxValue="8007"/>
    </cacheField>
    <cacheField name="No. TRANSACCION" numFmtId="0">
      <sharedItems/>
    </cacheField>
    <cacheField name="TRANSACCION ORIGINAL (Devolución)" numFmtId="0">
      <sharedItems containsNonDate="0" containsString="0" containsBlank="1"/>
    </cacheField>
    <cacheField name="TRANSACCIÓN CAJA ORIGINAL(Devolución)" numFmtId="0">
      <sharedItems containsNonDate="0" containsString="0" containsBlank="1"/>
    </cacheField>
    <cacheField name="No. DOCUMENTO" numFmtId="0">
      <sharedItems/>
    </cacheField>
    <cacheField name="NUMERO DE SOLICITUD" numFmtId="0">
      <sharedItems containsNonDate="0" containsString="0" containsBlank="1"/>
    </cacheField>
    <cacheField name="TIPO DOCUMENTO" numFmtId="0">
      <sharedItems/>
    </cacheField>
    <cacheField name="TRANSACCIONES CAJA" numFmtId="0">
      <sharedItems count="1">
        <s v="Venta Cotización contado"/>
      </sharedItems>
    </cacheField>
    <cacheField name="FORMA DE PAGO" numFmtId="0">
      <sharedItems count="2">
        <s v="Tarjeta de Credito"/>
        <s v="Efectivo"/>
      </sharedItems>
    </cacheField>
    <cacheField name="CODIGO DE RAZON" numFmtId="0">
      <sharedItems containsNonDate="0" containsString="0" containsBlank="1" count="1">
        <m/>
      </sharedItems>
    </cacheField>
    <cacheField name="MONTO" numFmtId="0">
      <sharedItems containsSemiMixedTypes="0" containsString="0" containsNumber="1" minValue="97" maxValue="6714"/>
    </cacheField>
    <cacheField name="NUM_COTIZACON" numFmtId="0">
      <sharedItems/>
    </cacheField>
    <cacheField name="NUM_CUENTA" numFmtId="0">
      <sharedItems/>
    </cacheField>
    <cacheField name="NOMBRE_CLIENTE" numFmtId="0">
      <sharedItems/>
    </cacheField>
    <cacheField name="BANCO" numFmtId="0">
      <sharedItems containsBlank="1"/>
    </cacheField>
    <cacheField name="AUTORIZACION" numFmtId="0">
      <sharedItems containsNonDate="0" containsString="0" containsBlank="1"/>
    </cacheField>
    <cacheField name="PROMOC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n v="1.25210997964202E+19"/>
    <s v="Union Comercial de Guatemala, S.A. - Banco G&amp;T Continental, S.A."/>
    <x v="0"/>
    <n v="521"/>
    <n v="99"/>
    <x v="0"/>
    <n v="1810"/>
    <d v="2022-07-01T00:00:00"/>
    <x v="0"/>
    <s v="TARJETA"/>
    <s v="GTQ"/>
    <n v="515"/>
    <m/>
    <m/>
    <m/>
    <n v="1"/>
    <n v="515"/>
    <x v="0"/>
    <m/>
    <m/>
    <m/>
    <m/>
    <m/>
    <s v="SILVIA PATRICIA IXCAYAU CASTRO"/>
    <s v="system"/>
  </r>
  <r>
    <n v="1.25210997996202E+19"/>
    <s v="Union Comercial de Guatemala, S.A. - Banco G&amp;T Continental, S.A."/>
    <x v="0"/>
    <n v="521"/>
    <n v="99"/>
    <x v="0"/>
    <n v="211853"/>
    <d v="2022-07-01T00:00:00"/>
    <x v="0"/>
    <s v="TARJETA"/>
    <s v="GTQ"/>
    <n v="277"/>
    <m/>
    <m/>
    <m/>
    <n v="1"/>
    <n v="277"/>
    <x v="0"/>
    <m/>
    <m/>
    <m/>
    <m/>
    <m/>
    <s v="SILVIA PATRICIA IXCAYAU CASTRO"/>
    <s v="system"/>
  </r>
  <r>
    <n v="1.2521099796320201E+19"/>
    <s v="Union Comercial de Guatemala, S.A. - Banco G&amp;T Continental, S.A."/>
    <x v="0"/>
    <n v="521"/>
    <n v="99"/>
    <x v="0"/>
    <n v="210481"/>
    <d v="2022-07-01T00:00:00"/>
    <x v="0"/>
    <s v="TARJETA"/>
    <s v="GTQ"/>
    <n v="597"/>
    <m/>
    <m/>
    <m/>
    <n v="1"/>
    <n v="597"/>
    <x v="0"/>
    <m/>
    <m/>
    <m/>
    <m/>
    <m/>
    <s v="SILVIA PATRICIA IXCAYAU CASTRO"/>
    <s v="system"/>
  </r>
  <r>
    <n v="1.2521099800220201E+19"/>
    <s v="Union Comercial de Guatemala, S.A. - Banco G&amp;T Continental, S.A."/>
    <x v="0"/>
    <n v="521"/>
    <n v="99"/>
    <x v="0"/>
    <n v="217376"/>
    <d v="2022-07-01T00:00:00"/>
    <x v="0"/>
    <s v="TARJETA"/>
    <s v="GTQ"/>
    <n v="276.8"/>
    <m/>
    <m/>
    <m/>
    <n v="1"/>
    <n v="276.8"/>
    <x v="0"/>
    <m/>
    <m/>
    <m/>
    <m/>
    <m/>
    <s v="SILVIA PATRICIA IXCAYAU CASTRO"/>
    <s v="system"/>
  </r>
  <r>
    <n v="1.2521099796220201E+19"/>
    <s v="Union Comercial de Guatemala, S.A. - Banco de America Central, S.A."/>
    <x v="0"/>
    <n v="521"/>
    <n v="99"/>
    <x v="0"/>
    <n v="173531"/>
    <d v="2022-07-01T00:00:00"/>
    <x v="0"/>
    <s v="TARJETA"/>
    <s v="GTQ"/>
    <n v="285"/>
    <m/>
    <m/>
    <m/>
    <n v="1"/>
    <n v="285"/>
    <x v="0"/>
    <m/>
    <m/>
    <m/>
    <m/>
    <m/>
    <s v="SILVIA PATRICIA IXCAYAU CASTRO"/>
    <s v="system"/>
  </r>
  <r>
    <n v="1.2521099799520201E+19"/>
    <s v="Union Comercial de Guatemala, S.A. - Banco G&amp;T Continental, S.A."/>
    <x v="0"/>
    <n v="521"/>
    <n v="99"/>
    <x v="0"/>
    <n v="271580"/>
    <d v="2022-07-01T00:00:00"/>
    <x v="0"/>
    <s v="TARJETA"/>
    <s v="GTQ"/>
    <n v="1030"/>
    <m/>
    <m/>
    <m/>
    <n v="1"/>
    <n v="1030"/>
    <x v="0"/>
    <m/>
    <m/>
    <m/>
    <m/>
    <m/>
    <s v="SILVIA PATRICIA IXCAYAU CASTRO"/>
    <s v="system"/>
  </r>
  <r>
    <n v="1.2521099796020199E+19"/>
    <s v="Union Comercial de Guatemala, S.A. - Banco G&amp;T Continental, S.A."/>
    <x v="0"/>
    <n v="521"/>
    <n v="99"/>
    <x v="0"/>
    <n v="699350"/>
    <d v="2022-07-01T00:00:00"/>
    <x v="0"/>
    <s v="TARJETA"/>
    <s v="GTQ"/>
    <n v="1696"/>
    <m/>
    <m/>
    <m/>
    <n v="1"/>
    <n v="1696"/>
    <x v="0"/>
    <m/>
    <m/>
    <m/>
    <m/>
    <m/>
    <s v="SILVIA PATRICIA IXCAYAU CASTRO"/>
    <s v="system"/>
  </r>
  <r>
    <n v="1.25210997974202E+19"/>
    <s v="Union Comercial de Guatemala, S.A. - Banco G&amp;T Continental, S.A."/>
    <x v="0"/>
    <n v="521"/>
    <n v="99"/>
    <x v="0"/>
    <n v="895582"/>
    <d v="2022-07-01T00:00:00"/>
    <x v="0"/>
    <s v="TARJETA"/>
    <s v="GTQ"/>
    <n v="97"/>
    <m/>
    <m/>
    <m/>
    <n v="1"/>
    <n v="97"/>
    <x v="0"/>
    <m/>
    <m/>
    <m/>
    <m/>
    <m/>
    <s v="SILVIA PATRICIA IXCAYAU CASTRO"/>
    <s v="system"/>
  </r>
  <r>
    <n v="1.25210998005202E+19"/>
    <s v="Union Comercial de Guatemala, S.A. - Banco de America Central, S.A."/>
    <x v="0"/>
    <n v="521"/>
    <n v="99"/>
    <x v="0"/>
    <n v="239218"/>
    <d v="2022-07-01T00:00:00"/>
    <x v="0"/>
    <s v="CREDOMATIC 10 PAGOS"/>
    <s v="GTQ"/>
    <n v="1801.15"/>
    <m/>
    <m/>
    <m/>
    <n v="1"/>
    <n v="1801.15"/>
    <x v="0"/>
    <m/>
    <m/>
    <m/>
    <m/>
    <m/>
    <s v="SILVIA PATRICIA IXCAYAU CASTRO"/>
    <s v="system"/>
  </r>
  <r>
    <n v="1.2521099797920201E+19"/>
    <s v="Union Comercial de Guatemala, S.A. - Banco G&amp;T Continental, S.A."/>
    <x v="0"/>
    <n v="521"/>
    <n v="99"/>
    <x v="0"/>
    <n v="912467"/>
    <d v="2022-07-01T00:00:00"/>
    <x v="0"/>
    <s v="TARJETA"/>
    <s v="GTQ"/>
    <n v="297"/>
    <m/>
    <m/>
    <m/>
    <n v="1"/>
    <n v="297"/>
    <x v="0"/>
    <m/>
    <m/>
    <m/>
    <m/>
    <m/>
    <s v="SILVIA PATRICIA IXCAYAU CASTRO"/>
    <s v="system"/>
  </r>
  <r>
    <n v="1.25210997998202E+19"/>
    <s v="Union Comercial de Guatemala, S.A. - Banco G&amp;T Continental, S.A."/>
    <x v="0"/>
    <n v="521"/>
    <n v="99"/>
    <x v="0"/>
    <n v="345292"/>
    <d v="2022-07-01T00:00:00"/>
    <x v="0"/>
    <s v="VISANET 10 PAGOS"/>
    <s v="GTQ"/>
    <n v="4155"/>
    <m/>
    <m/>
    <m/>
    <n v="1"/>
    <n v="4155"/>
    <x v="0"/>
    <m/>
    <m/>
    <m/>
    <m/>
    <m/>
    <s v="SILVIA PATRICIA IXCAYAU CASTRO"/>
    <s v="system"/>
  </r>
  <r>
    <n v="1.2521099800120199E+19"/>
    <s v="Union Comercial de Guatemala, S.A. - Banco G&amp;T Continental, S.A."/>
    <x v="0"/>
    <n v="521"/>
    <n v="99"/>
    <x v="0"/>
    <n v="267639"/>
    <d v="2022-07-01T00:00:00"/>
    <x v="0"/>
    <s v="TARJETA"/>
    <s v="GTQ"/>
    <n v="596.9"/>
    <m/>
    <m/>
    <m/>
    <n v="1"/>
    <n v="596.9"/>
    <x v="0"/>
    <m/>
    <m/>
    <m/>
    <m/>
    <m/>
    <s v="SILVIA PATRICIA IXCAYAU CASTRO"/>
    <s v="system"/>
  </r>
  <r>
    <n v="1.2521099797120201E+19"/>
    <s v="Union Comercial de Guatemala, S.A. - Banco G&amp;T Continental, S.A."/>
    <x v="0"/>
    <n v="521"/>
    <n v="99"/>
    <x v="0"/>
    <n v="877218"/>
    <d v="2022-07-01T00:00:00"/>
    <x v="0"/>
    <s v="TARJETA"/>
    <s v="GTQ"/>
    <n v="675"/>
    <m/>
    <m/>
    <m/>
    <n v="1"/>
    <n v="675"/>
    <x v="0"/>
    <m/>
    <m/>
    <m/>
    <m/>
    <m/>
    <s v="SILVIA PATRICIA IXCAYAU CASTRO"/>
    <s v="system"/>
  </r>
  <r>
    <n v="1.25210998006202E+19"/>
    <s v="Union Comercial de Guatemala, S.A. - Banco de America Central, S.A."/>
    <x v="0"/>
    <n v="521"/>
    <n v="99"/>
    <x v="0"/>
    <n v="278899"/>
    <d v="2022-07-01T00:00:00"/>
    <x v="0"/>
    <s v="TARJETA"/>
    <s v="GTQ"/>
    <n v="199"/>
    <m/>
    <m/>
    <m/>
    <n v="1"/>
    <n v="199"/>
    <x v="0"/>
    <m/>
    <m/>
    <m/>
    <m/>
    <m/>
    <s v="SILVIA PATRICIA IXCAYAU CASTRO"/>
    <s v="system"/>
  </r>
  <r>
    <n v="1.25210998007202E+19"/>
    <s v="Union Comercial de Guatemala, S.A. - Banco G&amp;T Continental, S.A."/>
    <x v="0"/>
    <n v="521"/>
    <n v="99"/>
    <x v="0"/>
    <n v="885366"/>
    <d v="2022-07-01T00:00:00"/>
    <x v="0"/>
    <s v="VISANET 3 PAGOS"/>
    <s v="GTQ"/>
    <n v="997"/>
    <m/>
    <m/>
    <m/>
    <n v="1"/>
    <n v="997"/>
    <x v="0"/>
    <m/>
    <m/>
    <m/>
    <m/>
    <m/>
    <s v="SILVIA PATRICIA IXCAYAU CASTRO"/>
    <s v="system"/>
  </r>
  <r>
    <n v="1.25210997991202E+19"/>
    <s v="Union Comercial de Guatemala, S.A. - Banco G&amp;T Continental, S.A."/>
    <x v="0"/>
    <n v="521"/>
    <n v="99"/>
    <x v="0"/>
    <n v="231092"/>
    <d v="2022-07-01T00:00:00"/>
    <x v="0"/>
    <s v="TARJETA"/>
    <s v="GTQ"/>
    <n v="4084"/>
    <m/>
    <m/>
    <m/>
    <n v="1"/>
    <n v="4084"/>
    <x v="0"/>
    <m/>
    <m/>
    <m/>
    <m/>
    <m/>
    <s v="SILVIA PATRICIA IXCAYAU CASTRO"/>
    <s v="system"/>
  </r>
  <r>
    <n v="1.2521099798720201E+19"/>
    <s v="Union Comercial de Guatemala, S.A. - Banco G&amp;T Continental, S.A."/>
    <x v="0"/>
    <n v="521"/>
    <n v="99"/>
    <x v="0"/>
    <n v="179793"/>
    <d v="2022-07-01T00:00:00"/>
    <x v="0"/>
    <s v="TARJETA"/>
    <s v="GTQ"/>
    <n v="387"/>
    <m/>
    <m/>
    <m/>
    <n v="1"/>
    <n v="387"/>
    <x v="0"/>
    <m/>
    <m/>
    <m/>
    <m/>
    <m/>
    <s v="SILVIA PATRICIA IXCAYAU CASTRO"/>
    <s v="system"/>
  </r>
  <r>
    <n v="1.2521099800020199E+19"/>
    <s v="Union Comercial de Guatemala, S.A. - Banco de America Central, S.A."/>
    <x v="0"/>
    <n v="521"/>
    <n v="99"/>
    <x v="0"/>
    <n v="10263"/>
    <d v="2022-07-01T00:00:00"/>
    <x v="0"/>
    <s v="TARJETA"/>
    <s v="GTQ"/>
    <n v="3456"/>
    <m/>
    <m/>
    <m/>
    <n v="1"/>
    <n v="3456"/>
    <x v="0"/>
    <m/>
    <m/>
    <m/>
    <m/>
    <m/>
    <s v="SILVIA PATRICIA IXCAYAU CASTRO"/>
    <s v="system"/>
  </r>
  <r>
    <n v="1.25210997999202E+19"/>
    <s v="Union Comercial de Guatemala, S.A. - Banco de America Central, S.A."/>
    <x v="0"/>
    <n v="521"/>
    <n v="99"/>
    <x v="0"/>
    <n v="233989"/>
    <d v="2022-07-01T00:00:00"/>
    <x v="0"/>
    <s v="TARJETA"/>
    <s v="GTQ"/>
    <n v="788"/>
    <m/>
    <m/>
    <m/>
    <n v="1"/>
    <n v="788"/>
    <x v="0"/>
    <m/>
    <m/>
    <m/>
    <m/>
    <m/>
    <s v="SILVIA PATRICIA IXCAYAU CASTRO"/>
    <s v="system"/>
  </r>
  <r>
    <n v="1.25210997989202E+19"/>
    <s v="Union Comercial de Guatemala, S.A. - Banco G&amp;T Continental, S.A."/>
    <x v="0"/>
    <n v="521"/>
    <n v="99"/>
    <x v="0"/>
    <n v="38825"/>
    <d v="2022-07-01T00:00:00"/>
    <x v="0"/>
    <s v="TARJETA"/>
    <s v="GTQ"/>
    <n v="4197"/>
    <m/>
    <m/>
    <m/>
    <n v="1"/>
    <n v="4197"/>
    <x v="0"/>
    <m/>
    <m/>
    <m/>
    <m/>
    <m/>
    <s v="SILVIA PATRICIA IXCAYAU CASTRO"/>
    <s v="system"/>
  </r>
  <r>
    <n v="1.2521099800320201E+19"/>
    <s v="Union Comercial de Guatemala, S.A. - Banco G&amp;T Continental, S.A."/>
    <x v="0"/>
    <n v="521"/>
    <n v="99"/>
    <x v="0"/>
    <n v="265123"/>
    <d v="2022-07-01T00:00:00"/>
    <x v="0"/>
    <s v="TARJETA"/>
    <s v="GTQ"/>
    <n v="285.98"/>
    <m/>
    <m/>
    <m/>
    <n v="1"/>
    <n v="285.98"/>
    <x v="0"/>
    <m/>
    <m/>
    <m/>
    <m/>
    <m/>
    <s v="SILVIA PATRICIA IXCAYAU CASTRO"/>
    <s v="system"/>
  </r>
  <r>
    <n v="1.2521099797020201E+19"/>
    <s v="Union Comercial de Guatemala, S.A. - Banco G&amp;T Continental, S.A."/>
    <x v="0"/>
    <n v="521"/>
    <n v="99"/>
    <x v="0"/>
    <n v="998278"/>
    <d v="2022-07-01T00:00:00"/>
    <x v="0"/>
    <s v="VISANET 36 PAGO"/>
    <s v="GTQ"/>
    <n v="6714"/>
    <m/>
    <m/>
    <m/>
    <n v="1"/>
    <n v="6714"/>
    <x v="0"/>
    <m/>
    <m/>
    <m/>
    <m/>
    <m/>
    <s v="SILVIA PATRICIA IXCAYAU CASTRO"/>
    <s v="system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d v="2022-07-01T00:00:00"/>
    <s v="CSH"/>
    <s v="12521000082320220729"/>
    <x v="0"/>
    <n v="12521"/>
    <x v="0"/>
    <n v="99"/>
    <s v="NOC"/>
    <x v="0"/>
    <n v="85079071"/>
    <s v="000-000908-4"/>
    <s v="Banco Industrial, S.A."/>
    <s v="GTQ"/>
    <n v="10419.700000000001"/>
    <m/>
    <m/>
    <m/>
    <n v="10419.700000000001"/>
    <m/>
    <n v="1"/>
    <n v="10419.700000000001"/>
    <m/>
    <m/>
    <m/>
    <s v="SILVIA PATRICIA IXCAYAU CASTRO"/>
    <m/>
  </r>
  <r>
    <x v="1"/>
    <d v="2022-07-01T00:00:00"/>
    <s v="CSH"/>
    <s v="12521000082320220729"/>
    <x v="0"/>
    <n v="12521"/>
    <x v="0"/>
    <n v="99"/>
    <s v="NOC"/>
    <x v="0"/>
    <n v="85079070"/>
    <s v="000-063091-3"/>
    <s v="Banco Industrial, S.A."/>
    <s v="GTQ"/>
    <n v="2370.06"/>
    <m/>
    <m/>
    <m/>
    <n v="2370.06"/>
    <m/>
    <n v="1"/>
    <n v="2370.06"/>
    <m/>
    <m/>
    <m/>
    <s v="SILVIA PATRICIA IXCAYAU CASTRO"/>
    <m/>
  </r>
  <r>
    <x v="2"/>
    <d v="2022-07-01T00:00:00"/>
    <s v="CSH"/>
    <s v="12521000082320220729"/>
    <x v="0"/>
    <n v="12521"/>
    <x v="0"/>
    <n v="99"/>
    <s v="NRGL"/>
    <x v="0"/>
    <n v="9475669"/>
    <s v="066-0030603-2"/>
    <s v="Banco G&amp;T C"/>
    <s v="GTQ"/>
    <n v="200"/>
    <m/>
    <m/>
    <m/>
    <n v="200"/>
    <m/>
    <n v="1"/>
    <n v="200"/>
    <m/>
    <m/>
    <m/>
    <s v="SILVIA PATRICIA IXCAYAU CASTRO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s v="LA CURACAO"/>
    <x v="0"/>
    <x v="0"/>
    <n v="99"/>
    <x v="0"/>
    <n v="8007"/>
    <s v="12521099800720220729"/>
    <m/>
    <m/>
    <s v="A29F857682068540"/>
    <m/>
    <s v="Factura Consumidor Final"/>
    <x v="0"/>
    <x v="0"/>
    <x v="0"/>
    <n v="997"/>
    <s v="12521201220HFT"/>
    <s v=""/>
    <s v="GUARITO    EXPRESS S.A  "/>
    <s v="BANCO PROMERICA, S.A.|1-233105"/>
    <m/>
    <s v="Visanet3Pagos"/>
  </r>
  <r>
    <s v="LA CURACAO"/>
    <x v="0"/>
    <x v="0"/>
    <n v="99"/>
    <x v="0"/>
    <n v="7999"/>
    <s v="12521099799920220729"/>
    <m/>
    <m/>
    <s v="40BF674A385697967"/>
    <m/>
    <s v="Factura Consumidor Final"/>
    <x v="0"/>
    <x v="0"/>
    <x v="0"/>
    <n v="788"/>
    <s v="12521201220HFP"/>
    <s v=""/>
    <s v="DIEGO   SANTOS  "/>
    <s v="BANCO DE AMÉRICA CENTRAL, S.A"/>
    <m/>
    <s v="Card"/>
  </r>
  <r>
    <s v="LA CURACAO"/>
    <x v="0"/>
    <x v="0"/>
    <n v="99"/>
    <x v="0"/>
    <n v="7979"/>
    <s v="12521099797920220729"/>
    <m/>
    <m/>
    <s v="FB715A4F1028866941"/>
    <m/>
    <s v="Factura Consumidor Final"/>
    <x v="0"/>
    <x v="1"/>
    <x v="0"/>
    <n v="1000"/>
    <s v="12521202220FGQ"/>
    <s v=""/>
    <s v="REYNA   RODRIGUEZ  "/>
    <m/>
    <m/>
    <m/>
  </r>
  <r>
    <s v="LA CURACAO"/>
    <x v="0"/>
    <x v="0"/>
    <n v="99"/>
    <x v="0"/>
    <n v="7989"/>
    <s v="12521099798920220729"/>
    <m/>
    <m/>
    <s v="8213985B2975023118"/>
    <m/>
    <s v="Factura Consumidor Final"/>
    <x v="0"/>
    <x v="0"/>
    <x v="0"/>
    <n v="4197"/>
    <s v="12521201220HFK"/>
    <s v=""/>
    <s v="CARLOS   VASQUEZ  "/>
    <s v="BANCO DE DESARROLLO RURAL, S.A"/>
    <m/>
    <s v="Card"/>
  </r>
  <r>
    <s v="LA CURACAO"/>
    <x v="0"/>
    <x v="0"/>
    <n v="99"/>
    <x v="0"/>
    <n v="7970"/>
    <s v="12521099797020220729"/>
    <m/>
    <m/>
    <s v="B090DD551556365999"/>
    <m/>
    <s v="Factura Consumidor Final"/>
    <x v="0"/>
    <x v="0"/>
    <x v="0"/>
    <n v="6714"/>
    <s v="12521202220FGP"/>
    <s v=""/>
    <s v="OGLA   SAPON  "/>
    <s v="BANCO PROMERICA, S.A.|1-233105"/>
    <m/>
    <s v="Visanet36Pago"/>
  </r>
  <r>
    <s v="LA CURACAO"/>
    <x v="0"/>
    <x v="0"/>
    <n v="99"/>
    <x v="0"/>
    <n v="7963"/>
    <s v="12521099796320220729"/>
    <m/>
    <m/>
    <s v="80EA67921218792289"/>
    <m/>
    <s v="Factura Consumidor Final"/>
    <x v="0"/>
    <x v="0"/>
    <x v="0"/>
    <n v="597"/>
    <s v="12521201220HFB"/>
    <s v=""/>
    <s v="PEDRO   LOPEZ  "/>
    <s v="BANCO INDUSTRIAL, S.A.|000-063"/>
    <m/>
    <s v="Card"/>
  </r>
  <r>
    <s v="LA CURACAO"/>
    <x v="0"/>
    <x v="0"/>
    <n v="99"/>
    <x v="0"/>
    <n v="7973"/>
    <s v="12521099797320220729"/>
    <m/>
    <m/>
    <s v="B243248F3838070321"/>
    <m/>
    <s v="Factura Consumidor Final"/>
    <x v="0"/>
    <x v="1"/>
    <x v="0"/>
    <n v="747"/>
    <s v="12521201220HFF"/>
    <s v=""/>
    <s v="JONATAN   MORALES  "/>
    <m/>
    <m/>
    <m/>
  </r>
  <r>
    <s v="LA CURACAO"/>
    <x v="0"/>
    <x v="0"/>
    <n v="99"/>
    <x v="0"/>
    <n v="8000"/>
    <s v="12521099800020220729"/>
    <m/>
    <m/>
    <s v="D9E154F63009692786"/>
    <m/>
    <s v="Factura Consumidor Final"/>
    <x v="0"/>
    <x v="0"/>
    <x v="0"/>
    <n v="3456"/>
    <s v="12521202220FGX"/>
    <s v=""/>
    <s v="JONNATHAN   GALINDO  "/>
    <s v="BANCO DE AMÉRICA CENTRAL, S.A"/>
    <m/>
    <s v="Card"/>
  </r>
  <r>
    <s v="LA CURACAO"/>
    <x v="0"/>
    <x v="0"/>
    <n v="99"/>
    <x v="0"/>
    <n v="7979"/>
    <s v="12521099797920220729"/>
    <m/>
    <m/>
    <s v="FB715A4F1028866941"/>
    <m/>
    <s v="Factura Consumidor Final"/>
    <x v="0"/>
    <x v="0"/>
    <x v="0"/>
    <n v="297"/>
    <s v="12521202220FGQ"/>
    <s v=""/>
    <s v="REYNA   RODRIGUEZ  "/>
    <s v="BANCO DE DESARROLLO RURAL, S.A"/>
    <m/>
    <s v="Card"/>
  </r>
  <r>
    <s v="LA CURACAO"/>
    <x v="0"/>
    <x v="0"/>
    <n v="99"/>
    <x v="0"/>
    <n v="7960"/>
    <s v="12521099796020220729"/>
    <m/>
    <m/>
    <s v="CF4F8EC4126175185"/>
    <m/>
    <s v="Factura Consumidor Final"/>
    <x v="0"/>
    <x v="0"/>
    <x v="0"/>
    <n v="1696"/>
    <s v="12521202220FGK"/>
    <s v=""/>
    <s v="LILIAN    GARCIA  "/>
    <s v="BANCO DE DESARROLLO RURAL, S.A"/>
    <m/>
    <s v="Card"/>
  </r>
  <r>
    <s v="LA CURACAO"/>
    <x v="0"/>
    <x v="0"/>
    <n v="99"/>
    <x v="0"/>
    <n v="8006"/>
    <s v="12521099800620220729"/>
    <m/>
    <m/>
    <s v="168003A2320946894"/>
    <m/>
    <s v="Factura Consumidor Final"/>
    <x v="0"/>
    <x v="0"/>
    <x v="0"/>
    <n v="199"/>
    <s v="125212042206XC"/>
    <s v=""/>
    <s v="CLAUDIA AZUCELY  RAMIREZ VASQUEZ "/>
    <s v="BANCO DE AMÉRICA CENTRAL, S.A"/>
    <m/>
    <s v="Card"/>
  </r>
  <r>
    <s v="LA CURACAO"/>
    <x v="0"/>
    <x v="0"/>
    <n v="99"/>
    <x v="0"/>
    <n v="7991"/>
    <s v="12521099799120220729"/>
    <m/>
    <m/>
    <s v="DB91AA2B306990205"/>
    <m/>
    <s v="Factura Consumidor Final"/>
    <x v="0"/>
    <x v="0"/>
    <x v="0"/>
    <n v="4084"/>
    <s v="12521201220HFL"/>
    <s v=""/>
    <s v="JOSE   VASQUEZ  "/>
    <s v="BANCO INDUSTRIAL, S.A.|000-063"/>
    <m/>
    <s v="Card"/>
  </r>
  <r>
    <s v="LA CURACAO"/>
    <x v="0"/>
    <x v="0"/>
    <n v="99"/>
    <x v="0"/>
    <n v="8005"/>
    <s v="12521099800520220729"/>
    <m/>
    <m/>
    <s v="4CD81A7C2940879601"/>
    <m/>
    <s v="Factura Consumidor Final"/>
    <x v="0"/>
    <x v="0"/>
    <x v="0"/>
    <n v="1801.15"/>
    <s v="12521201220HFS"/>
    <s v=""/>
    <s v="PABLO   CARRASCOZA  "/>
    <s v="BANCO PROMERICA, S.A.|1-233105"/>
    <m/>
    <s v="Credomatic10Pagos"/>
  </r>
  <r>
    <s v="LA CURACAO"/>
    <x v="0"/>
    <x v="0"/>
    <n v="99"/>
    <x v="0"/>
    <n v="7968"/>
    <s v="12521099796820220729"/>
    <m/>
    <m/>
    <s v="F9C9885B669797682"/>
    <m/>
    <s v="Factura Consumidor Final"/>
    <x v="0"/>
    <x v="1"/>
    <x v="0"/>
    <n v="357"/>
    <s v="12521202220FGM"/>
    <s v=""/>
    <s v="BRENDA LETICIA VELASQUEZ SONTAY"/>
    <m/>
    <m/>
    <m/>
  </r>
  <r>
    <s v="LA CURACAO"/>
    <x v="0"/>
    <x v="0"/>
    <n v="99"/>
    <x v="0"/>
    <n v="7974"/>
    <s v="12521099797420220729"/>
    <m/>
    <m/>
    <s v="A608C686522535270"/>
    <m/>
    <s v="Factura Consumidor Final"/>
    <x v="0"/>
    <x v="0"/>
    <x v="0"/>
    <n v="97"/>
    <s v="125212042206XB"/>
    <s v=""/>
    <s v="REYNA   RODRIGUEZ  "/>
    <s v="BANCO DE DESARROLLO RURAL, S.A"/>
    <m/>
    <s v="Card"/>
  </r>
  <r>
    <s v="LA CURACAO"/>
    <x v="0"/>
    <x v="0"/>
    <n v="99"/>
    <x v="0"/>
    <n v="7998"/>
    <s v="12521099799820220729"/>
    <m/>
    <m/>
    <s v="C901C8922831107477"/>
    <m/>
    <s v="Factura Consumidor Final"/>
    <x v="0"/>
    <x v="0"/>
    <x v="0"/>
    <n v="4155"/>
    <s v="12521202220FGV"/>
    <s v=""/>
    <s v="JIMMY ALEXANDER GALINDO LEON"/>
    <s v="BANCO DE AMÉRICA CENTRAL, S.A"/>
    <m/>
    <s v="Visanet10Pago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5BDFC4-1854-4A5C-A661-172314989456}" name="Tbl Dinamica Tarjetas" cacheId="36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3:C8" firstHeaderRow="1" firstDataRow="2" firstDataCol="1"/>
  <pivotFields count="25"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numFmtId="17"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3">
    <field x="2"/>
    <field x="5"/>
    <field x="8"/>
  </rowFields>
  <rowItems count="4">
    <i>
      <x/>
    </i>
    <i r="1">
      <x/>
    </i>
    <i r="2">
      <x/>
    </i>
    <i t="grand">
      <x/>
    </i>
  </rowItems>
  <colFields count="1">
    <field x="17"/>
  </colFields>
  <colItems count="2">
    <i>
      <x/>
    </i>
    <i t="grand">
      <x/>
    </i>
  </colItems>
  <dataFields count="1">
    <dataField name="Suma de MONTO" fld="11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EF8412-709B-486C-8D22-1720922E3307}" name="Tbl Dinamica Depositos" cacheId="37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3:E8" firstHeaderRow="1" firstDataRow="2" firstDataCol="1"/>
  <pivotFields count="27">
    <pivotField axis="axisCol" showAll="0">
      <items count="4">
        <item x="2"/>
        <item x="1"/>
        <item x="0"/>
        <item t="default"/>
      </items>
    </pivotField>
    <pivotField numFmtId="17" showAll="0"/>
    <pivotField showAll="0"/>
    <pivotField showAll="0"/>
    <pivotField axis="axisRow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4"/>
    <field x="6"/>
    <field x="9"/>
  </rowFields>
  <rowItems count="4">
    <i>
      <x/>
    </i>
    <i r="1">
      <x/>
    </i>
    <i r="2">
      <x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Suma de Monto" fld="14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6088A1-2DC8-4AE3-A068-5BC47C12F2D8}" name="Tbl Dinamica Transaccional" cacheId="38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compact="0" compactData="0" multipleFieldFilters="0">
  <location ref="A3:H10" firstHeaderRow="1" firstDataRow="2" firstDataCol="5"/>
  <pivotFields count="22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4"/>
    <field x="12"/>
    <field x="14"/>
  </rowFields>
  <rowItems count="6">
    <i>
      <x/>
      <x/>
      <x/>
      <x/>
      <x/>
    </i>
    <i t="default" r="3">
      <x/>
    </i>
    <i t="default" r="2">
      <x/>
    </i>
    <i t="default" r="1">
      <x/>
    </i>
    <i t="default">
      <x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Suma de MONTO" fld="15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AB3B29-373B-439C-86EA-59DB211B7724}" name="Tabla4" displayName="Tabla4" ref="A1:R7" totalsRowShown="0">
  <autoFilter ref="A1:R7" xr:uid="{09AB3B29-373B-439C-86EA-59DB211B7724}"/>
  <tableColumns count="18">
    <tableColumn id="1" xr3:uid="{7C3D156D-47B0-4BAC-B80B-FCE3B546B4DA}" name="TIENDA"/>
    <tableColumn id="2" xr3:uid="{A0BFD32F-0B77-4343-9FF8-484C2F4E05DA}" name="CDA"/>
    <tableColumn id="3" xr3:uid="{8B95C4D9-97B4-47EB-BB8D-D57E470E044A}" name="FECHA TRANSACCION"/>
    <tableColumn id="4" xr3:uid="{05F7F098-8E61-4D0D-938A-7562CA05DE1B}" name="TRANSACCIONES CAJA"/>
    <tableColumn id="5" xr3:uid="{D8FEF3FB-64D5-42E6-94E3-050F654603BB}" name="CODIGO DE RAZON"/>
    <tableColumn id="6" xr3:uid="{8CBBE86C-C54B-4F0D-9541-353A42821EA4}" name="Efectivo"/>
    <tableColumn id="7" xr3:uid="{2BF172AF-4085-4FF6-A7F9-B3E5A5FD404B}" name="Tarjeta de Credito"/>
    <tableColumn id="8" xr3:uid="{87693369-4C7D-4FB9-BC52-6AAA24807E74}" name="Total general"/>
    <tableColumn id="9" xr3:uid="{600B9B3F-CB72-4D99-A108-923DFC418590}" name="CIA"/>
    <tableColumn id="10" xr3:uid="{93095A32-F57B-45E4-B398-3E81B39CC50E}" name="INHOUSE DEP-TC"/>
    <tableColumn id="11" xr3:uid="{D8E52974-2B20-47FE-B57B-F0121B8BD04C}" name="INGRESOS CORTE DE CAJA"/>
    <tableColumn id="12" xr3:uid="{F416F1A6-1CF6-43B9-ADF5-B2FF7F2D4C5A}" name="CIERRE P.O.S."/>
    <tableColumn id="13" xr3:uid="{74EA0716-121F-47F6-8F53-A02E13C60430}" name="VENTAS TC INTERNET"/>
    <tableColumn id="14" xr3:uid="{ABD19ABD-14DA-4162-948E-D71819343D06}" name="VISALINK"/>
    <tableColumn id="15" xr3:uid="{ECC8F168-55A1-4905-9A1B-F948D729590D}" name="TRASLADOS"/>
    <tableColumn id="16" xr3:uid="{C54D8916-E1A1-463C-B59C-F7944A657C5B}" name="DIFERENCIA"/>
    <tableColumn id="17" xr3:uid="{BD410FB0-4B1A-4C63-A7EE-EC27A7A92A62}" name="OBSERVACIÓN"/>
    <tableColumn id="18" xr3:uid="{841AFD9C-9C85-4EFA-8E35-68DEE098C422}" name="Columna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820DF8-0A9B-4237-8D0D-C4A2CDD52EDC}" name="Tabla1" displayName="Tabla1" ref="A1:Y23" totalsRowShown="0" headerRowDxfId="11" headerRowBorderDxfId="10" tableBorderDxfId="9">
  <autoFilter ref="A1:Y23" xr:uid="{DF820DF8-0A9B-4237-8D0D-C4A2CDD52EDC}"/>
  <tableColumns count="25">
    <tableColumn id="1" xr3:uid="{E9157714-8557-4FEA-B75D-19F70C638E20}" name="NÚMERO TRANSACCION"/>
    <tableColumn id="2" xr3:uid="{901F8131-9CB2-4727-94A7-5C576F4C85AA}" name="DESC CUENTA"/>
    <tableColumn id="3" xr3:uid="{2E08BBA1-B2F1-45CA-96D4-F1F7BDD66873}" name="CENTRO ANALISIS"/>
    <tableColumn id="4" xr3:uid="{209A3DA4-5EC9-4CA9-AA5E-0D9FB4E71184}" name="RI"/>
    <tableColumn id="5" xr3:uid="{CBAB4582-FB78-4866-BCEE-806495C7F63B}" name="NO CAJA"/>
    <tableColumn id="6" xr3:uid="{DD2A2707-A2AD-42C3-BCDE-44E799625FA3}" name="DESC ALMACEN"/>
    <tableColumn id="7" xr3:uid="{B647E23D-073B-4DBC-AA94-72095048CD8D}" name="REFERENCIA"/>
    <tableColumn id="8" xr3:uid="{4A3B5C52-10CC-4516-820F-70A6ED692C83}" name="PERIODO CONTABLE" dataDxfId="8"/>
    <tableColumn id="9" xr3:uid="{A39DD05C-220F-476C-8065-48969FF0F8D6}" name="FECHA AUTORIZACIÓN"/>
    <tableColumn id="10" xr3:uid="{08BF0C4C-8827-4B67-BF5A-B5A7810BE635}" name="TIPO PROMOCIÓN"/>
    <tableColumn id="11" xr3:uid="{36D9F0C2-091C-4766-89F4-0B2D34B16774}" name="MONEDA"/>
    <tableColumn id="12" xr3:uid="{07387015-F893-4290-9345-FEAB9EC4A303}" name="MONTO"/>
    <tableColumn id="13" xr3:uid="{83A1D11D-07DA-4F7E-9FF9-2DB023DFD4F8}" name="NUMERO CONFIRMADO"/>
    <tableColumn id="14" xr3:uid="{FA551CC8-7278-4D4E-B85B-BA97227004A2}" name="Monto Confirmado"/>
    <tableColumn id="15" xr3:uid="{CA3D3000-D7CE-4BD3-9458-A8574894356E}" name="Diferencia"/>
    <tableColumn id="16" xr3:uid="{B99A2C3D-FCF8-40D3-BA75-23235FA0713C}" name="TASA DE CAMBIO"/>
    <tableColumn id="17" xr3:uid="{FC45CF4B-D366-4B11-B68D-B489C8A374A0}" name="MONTO MNL"/>
    <tableColumn id="18" xr3:uid="{27BAE98C-E2C2-45A5-A63D-DE613B786D84}" name="ESTADO"/>
    <tableColumn id="19" xr3:uid="{B65CB73D-FEA4-4876-8BE7-410AE8BF04C4}" name="FECHA BANCO"/>
    <tableColumn id="20" xr3:uid="{0692C635-F681-424C-8AD1-85B90DED0A25}" name="NÚMERO DE DEPOSITO"/>
    <tableColumn id="21" xr3:uid="{D0BDE88A-EE76-4ACD-B593-ABC60385152D}" name="NÚMERO CCF"/>
    <tableColumn id="22" xr3:uid="{AFBCFC66-C824-4183-B417-F085B8C71437}" name="FECHA CONFIRMACION"/>
    <tableColumn id="23" xr3:uid="{3C6B492A-6F9C-4812-A1FC-89739CF6B529}" name="FECHA CONTABLE"/>
    <tableColumn id="24" xr3:uid="{BC91A9D9-E7EC-4BDC-AAD9-C902A139B51F}" name="EMPLEADO"/>
    <tableColumn id="25" xr3:uid="{DFAB1BA9-85D0-4D53-ADB6-A9301DF537D2}" name="ACTUALIZADO POR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10492B-B4C3-42A0-A3BF-6EE83C6C7776}" name="Tabla2" displayName="Tabla2" ref="A1:AA4" totalsRowShown="0" headerRowDxfId="7" headerRowBorderDxfId="6" tableBorderDxfId="5">
  <autoFilter ref="A1:AA4" xr:uid="{BE10492B-B4C3-42A0-A3BF-6EE83C6C7776}"/>
  <tableColumns count="27">
    <tableColumn id="1" xr3:uid="{F9C663F6-7916-4077-972F-3F4DFD72B22B}" name="Compañia"/>
    <tableColumn id="2" xr3:uid="{FDEFE941-361E-4141-B9BD-F60C114CCC39}" name="Período" dataDxfId="4"/>
    <tableColumn id="3" xr3:uid="{45349FB6-A662-4947-A047-2B849F65E94F}" name="Tipo"/>
    <tableColumn id="4" xr3:uid="{21881871-7616-4C97-87BC-938AD0BE6515}" name="Número Transacción"/>
    <tableColumn id="5" xr3:uid="{55398F3C-A234-45CB-A1D4-87EFE37EC374}" name="Centro Analisis"/>
    <tableColumn id="6" xr3:uid="{6DDE49FF-01A9-4753-BCE8-D33CEB2ED163}" name="Tienda"/>
    <tableColumn id="7" xr3:uid="{D11FAE55-631F-4FCA-BBB0-21F98C5B5FCC}" name="Desc Almacen"/>
    <tableColumn id="8" xr3:uid="{58E88BB0-5C1E-49BC-8715-9C3864ED5A72}" name="Caja"/>
    <tableColumn id="9" xr3:uid="{4C0BB9D5-A4BC-4273-9CF8-1A65F62ADD6E}" name="Estado"/>
    <tableColumn id="10" xr3:uid="{EE16165B-89CD-4C0C-8820-A14F1CF50E52}" name="Fecha deposito"/>
    <tableColumn id="11" xr3:uid="{A36A3144-4EC2-47E9-A2FD-77E0BDD7D6CD}" name="Numero Deposito"/>
    <tableColumn id="12" xr3:uid="{3028B845-6186-44E0-BB2C-2B411E11DD5C}" name="Numero Cuenta"/>
    <tableColumn id="13" xr3:uid="{E5E1E207-8F66-43B2-8E8F-EC1F21130152}" name="Desc Cuenta"/>
    <tableColumn id="14" xr3:uid="{11AC836D-AB00-480F-9866-CE72C6270F24}" name="Moneda"/>
    <tableColumn id="15" xr3:uid="{AE3E103B-122D-4EE0-AB3E-D6E7DBE15BB6}" name="Monto"/>
    <tableColumn id="16" xr3:uid="{B099EF79-753C-4B4F-8C50-28D5AEA409F3}" name="Fecha Banco"/>
    <tableColumn id="17" xr3:uid="{FA515C08-9948-44FD-8975-AD3F769E9400}" name="Número Déposito Confirmado"/>
    <tableColumn id="18" xr3:uid="{4BB64F52-1B87-4758-BA01-605604E8FE31}" name="Número Cuenta Confirmada"/>
    <tableColumn id="19" xr3:uid="{D0471FA9-ED02-44EE-A2E7-3F620A9F989D}" name="Monto Confirmado"/>
    <tableColumn id="20" xr3:uid="{722373EB-3852-4F8B-AB83-189AE0225256}" name="Diferencia"/>
    <tableColumn id="21" xr3:uid="{F5080239-121A-48A5-9E4F-259ECE8FC057}" name="Tasa de Cambio"/>
    <tableColumn id="22" xr3:uid="{85A92371-26E7-465C-9068-1C6FBDC6569A}" name="Monto MNL"/>
    <tableColumn id="23" xr3:uid="{B1988E78-2CFF-4265-BD4D-A1D499E34B59}" name="Motivo"/>
    <tableColumn id="24" xr3:uid="{4BE4812E-2A2C-4262-8FF9-E277539217FF}" name="Fecha confirmacion"/>
    <tableColumn id="25" xr3:uid="{9F18D548-17C9-462F-BDE1-F38A24553D72}" name="Fecha Contabilización"/>
    <tableColumn id="26" xr3:uid="{12323E76-2ECA-49AC-9C83-4FF0C930E2F8}" name="Empleado"/>
    <tableColumn id="27" xr3:uid="{920FB2FA-DD3B-494B-8DAA-09640FA6682D}" name="Actualizado por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F01804A-DD94-4F33-8131-28A6812224B9}" name="Tabla3" displayName="Tabla3" ref="A1:V17" totalsRowShown="0" headerRowDxfId="3" headerRowBorderDxfId="2" tableBorderDxfId="1">
  <autoFilter ref="A1:V17" xr:uid="{9F01804A-DD94-4F33-8131-28A6812224B9}"/>
  <tableColumns count="22">
    <tableColumn id="1" xr3:uid="{22913FD5-26C7-4C6C-BAED-F79064755544}" name="CADENA"/>
    <tableColumn id="2" xr3:uid="{72F729E2-0345-4711-8F23-8F60F9C235AE}" name="TIENDA"/>
    <tableColumn id="3" xr3:uid="{624C3FAE-063F-437E-AE2F-3411ADF65FC2}" name="CDA"/>
    <tableColumn id="4" xr3:uid="{6D6B6CE6-FB6E-456A-96D9-B52B157B0B5A}" name="CAJA"/>
    <tableColumn id="5" xr3:uid="{5EE4502A-95A3-46C3-AA8D-53EF930281C8}" name="FECHA TRANSACCION" dataDxfId="0"/>
    <tableColumn id="6" xr3:uid="{97447F33-31B4-4BB9-A15A-F77B8E408FED}" name="CORRELATIVO CAJA"/>
    <tableColumn id="7" xr3:uid="{51AC5397-2E7C-4FC6-A10A-41AB367CF706}" name="No. TRANSACCION"/>
    <tableColumn id="8" xr3:uid="{3973F1E0-CAD4-4420-802E-E51959F8FCD6}" name="TRANSACCION ORIGINAL (Devolución)"/>
    <tableColumn id="9" xr3:uid="{99B6F1D0-2BA8-4A2A-97AA-E3F6FD5DD1A4}" name="TRANSACCIÓN CAJA ORIGINAL(Devolución)"/>
    <tableColumn id="10" xr3:uid="{60D8BC47-0A36-4A00-BE0F-83C2CD8F864A}" name="No. DOCUMENTO"/>
    <tableColumn id="11" xr3:uid="{EB64D758-CD9D-4DF2-A1E5-C995533EBAF3}" name="NUMERO DE SOLICITUD"/>
    <tableColumn id="12" xr3:uid="{0A2CDF70-EDE2-4E0A-A281-6449C8ED0D2B}" name="TIPO DOCUMENTO"/>
    <tableColumn id="13" xr3:uid="{6200A4F0-DCAC-4AA9-B8F7-8E80ECF7F6B9}" name="TRANSACCIONES CAJA"/>
    <tableColumn id="14" xr3:uid="{53822F9F-4A13-4B95-9341-976D50E5FF79}" name="FORMA DE PAGO"/>
    <tableColumn id="15" xr3:uid="{2D96EF39-9768-4C2B-B839-710065C7D379}" name="CODIGO DE RAZON"/>
    <tableColumn id="16" xr3:uid="{ED3173D1-7022-4DC5-97BB-93016CDF5AD8}" name="MONTO"/>
    <tableColumn id="17" xr3:uid="{E774D28E-E840-43C8-BC98-51F9B507B066}" name="NUM_COTIZACON"/>
    <tableColumn id="18" xr3:uid="{2E3E12D1-EA24-40AD-BCDA-FFF6280B6BF2}" name="NUM_CUENTA"/>
    <tableColumn id="19" xr3:uid="{A88E6954-2DA6-4321-903F-8B8054D9F1C8}" name="NOMBRE_CLIENTE"/>
    <tableColumn id="20" xr3:uid="{973435F6-D2C6-4F17-BAC9-42B3DEAF1A0F}" name="BANCO"/>
    <tableColumn id="21" xr3:uid="{3D684EBA-E3EF-4B20-A5F3-6957A50E0AF5}" name="AUTORIZACION"/>
    <tableColumn id="22" xr3:uid="{B24D2B22-C3DB-465D-A9E6-CC46422ABA4C}" name="PROMOCION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B9AD7-6B5D-4CFE-919D-F766F5F1A1DA}">
  <sheetPr codeName="Hoja2"/>
  <dimension ref="A1:R7"/>
  <sheetViews>
    <sheetView tabSelected="1" workbookViewId="0">
      <selection sqref="A1:R7"/>
    </sheetView>
  </sheetViews>
  <sheetFormatPr baseColWidth="10" defaultRowHeight="15" x14ac:dyDescent="0.25"/>
  <cols>
    <col min="3" max="3" width="22.140625" customWidth="1"/>
    <col min="4" max="4" width="22.85546875" customWidth="1"/>
    <col min="5" max="5" width="19.85546875" customWidth="1"/>
    <col min="7" max="7" width="19" customWidth="1"/>
    <col min="8" max="8" width="14.7109375" customWidth="1"/>
    <col min="10" max="10" width="18" customWidth="1"/>
    <col min="11" max="11" width="25.85546875" customWidth="1"/>
    <col min="12" max="12" width="14.85546875" customWidth="1"/>
    <col min="13" max="13" width="21.7109375" customWidth="1"/>
    <col min="15" max="15" width="13.42578125" customWidth="1"/>
    <col min="16" max="16" width="13.5703125" customWidth="1"/>
    <col min="17" max="17" width="16" customWidth="1"/>
    <col min="18" max="18" width="12" customWidth="1"/>
  </cols>
  <sheetData>
    <row r="1" spans="1:18" x14ac:dyDescent="0.25">
      <c r="A1" t="s">
        <v>51</v>
      </c>
      <c r="B1" t="s">
        <v>52</v>
      </c>
      <c r="C1" t="s">
        <v>54</v>
      </c>
      <c r="D1" t="s">
        <v>62</v>
      </c>
      <c r="E1" t="s">
        <v>64</v>
      </c>
      <c r="F1" t="s">
        <v>120</v>
      </c>
      <c r="G1" t="s">
        <v>106</v>
      </c>
      <c r="H1" t="s">
        <v>85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191</v>
      </c>
    </row>
    <row r="2" spans="1:18" x14ac:dyDescent="0.25">
      <c r="A2" t="s">
        <v>101</v>
      </c>
      <c r="B2">
        <v>50210</v>
      </c>
      <c r="C2" s="9">
        <v>44771</v>
      </c>
      <c r="D2" t="s">
        <v>105</v>
      </c>
      <c r="E2" t="s">
        <v>175</v>
      </c>
      <c r="F2">
        <v>2104</v>
      </c>
      <c r="G2">
        <v>29078.15</v>
      </c>
      <c r="H2">
        <v>31182.15</v>
      </c>
      <c r="I2" t="s">
        <v>88</v>
      </c>
    </row>
    <row r="3" spans="1:18" x14ac:dyDescent="0.25">
      <c r="A3" t="s">
        <v>101</v>
      </c>
      <c r="B3">
        <v>50210</v>
      </c>
      <c r="C3" s="9">
        <v>44771</v>
      </c>
      <c r="D3" t="s">
        <v>176</v>
      </c>
      <c r="F3">
        <v>2104</v>
      </c>
      <c r="G3">
        <v>29078.15</v>
      </c>
      <c r="H3">
        <v>31182.15</v>
      </c>
      <c r="I3" t="s">
        <v>189</v>
      </c>
    </row>
    <row r="4" spans="1:18" x14ac:dyDescent="0.25">
      <c r="A4" t="s">
        <v>101</v>
      </c>
      <c r="B4">
        <v>50210</v>
      </c>
      <c r="C4" t="s">
        <v>177</v>
      </c>
      <c r="F4">
        <v>2104</v>
      </c>
      <c r="G4">
        <v>29078.15</v>
      </c>
      <c r="H4">
        <v>31182.15</v>
      </c>
      <c r="I4" t="s">
        <v>93</v>
      </c>
    </row>
    <row r="5" spans="1:18" x14ac:dyDescent="0.25">
      <c r="A5" t="s">
        <v>101</v>
      </c>
      <c r="B5" t="s">
        <v>178</v>
      </c>
      <c r="F5">
        <v>2104</v>
      </c>
      <c r="G5">
        <v>29078.15</v>
      </c>
      <c r="H5">
        <v>31182.15</v>
      </c>
      <c r="I5" t="s">
        <v>88</v>
      </c>
    </row>
    <row r="6" spans="1:18" x14ac:dyDescent="0.25">
      <c r="A6" t="s">
        <v>179</v>
      </c>
      <c r="F6">
        <v>2104</v>
      </c>
      <c r="G6">
        <v>29078.15</v>
      </c>
      <c r="H6">
        <v>31182.15</v>
      </c>
      <c r="I6" t="s">
        <v>189</v>
      </c>
    </row>
    <row r="7" spans="1:18" x14ac:dyDescent="0.25">
      <c r="A7" t="s">
        <v>85</v>
      </c>
      <c r="F7">
        <v>2104</v>
      </c>
      <c r="G7">
        <v>29078.15</v>
      </c>
      <c r="H7">
        <v>31182.15</v>
      </c>
      <c r="I7" t="s">
        <v>190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9CF87-E574-4FD6-A053-0F3E2714E00D}">
  <dimension ref="A3:C8"/>
  <sheetViews>
    <sheetView workbookViewId="0"/>
  </sheetViews>
  <sheetFormatPr baseColWidth="10" defaultRowHeight="15" x14ac:dyDescent="0.25"/>
  <cols>
    <col min="1" max="1" width="48.140625" bestFit="1" customWidth="1"/>
    <col min="2" max="2" width="22.42578125" bestFit="1" customWidth="1"/>
    <col min="3" max="3" width="12.5703125" bestFit="1" customWidth="1"/>
  </cols>
  <sheetData>
    <row r="3" spans="1:3" x14ac:dyDescent="0.25">
      <c r="A3" s="3" t="s">
        <v>87</v>
      </c>
      <c r="B3" s="3" t="s">
        <v>84</v>
      </c>
    </row>
    <row r="4" spans="1:3" x14ac:dyDescent="0.25">
      <c r="A4" s="3" t="s">
        <v>86</v>
      </c>
      <c r="B4" t="s">
        <v>76</v>
      </c>
      <c r="C4" t="s">
        <v>85</v>
      </c>
    </row>
    <row r="5" spans="1:3" x14ac:dyDescent="0.25">
      <c r="A5" s="4">
        <v>50210</v>
      </c>
      <c r="B5" s="7">
        <v>33406.83</v>
      </c>
      <c r="C5" s="7">
        <v>33406.83</v>
      </c>
    </row>
    <row r="6" spans="1:3" x14ac:dyDescent="0.25">
      <c r="A6" s="5" t="s">
        <v>72</v>
      </c>
      <c r="B6" s="7">
        <v>33406.83</v>
      </c>
      <c r="C6" s="7">
        <v>33406.83</v>
      </c>
    </row>
    <row r="7" spans="1:3" x14ac:dyDescent="0.25">
      <c r="A7" s="6" t="s">
        <v>73</v>
      </c>
      <c r="B7" s="7">
        <v>33406.83</v>
      </c>
      <c r="C7" s="7">
        <v>33406.83</v>
      </c>
    </row>
    <row r="8" spans="1:3" x14ac:dyDescent="0.25">
      <c r="A8" s="4" t="s">
        <v>85</v>
      </c>
      <c r="B8" s="7">
        <v>33406.83</v>
      </c>
      <c r="C8" s="7">
        <v>33406.83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23"/>
  <sheetViews>
    <sheetView workbookViewId="0">
      <selection sqref="A1:Y23"/>
    </sheetView>
  </sheetViews>
  <sheetFormatPr baseColWidth="10" defaultColWidth="9.140625" defaultRowHeight="15" x14ac:dyDescent="0.25"/>
  <cols>
    <col min="1" max="1" width="23.42578125" customWidth="1"/>
    <col min="2" max="2" width="15.5703125" customWidth="1"/>
    <col min="3" max="3" width="18.5703125" customWidth="1"/>
    <col min="4" max="4" width="12" customWidth="1"/>
    <col min="5" max="5" width="11" customWidth="1"/>
    <col min="6" max="6" width="17.140625" customWidth="1"/>
    <col min="7" max="7" width="13.42578125" customWidth="1"/>
    <col min="8" max="8" width="20.5703125" customWidth="1"/>
    <col min="9" max="9" width="22.7109375" customWidth="1"/>
    <col min="10" max="10" width="18.42578125" customWidth="1"/>
    <col min="11" max="11" width="10.85546875" customWidth="1"/>
    <col min="12" max="12" width="9.7109375" customWidth="1"/>
    <col min="13" max="13" width="23" customWidth="1"/>
    <col min="14" max="14" width="18.5703125" customWidth="1"/>
    <col min="15" max="15" width="11.85546875" customWidth="1"/>
    <col min="16" max="16" width="18" customWidth="1"/>
    <col min="17" max="17" width="14.5703125" customWidth="1"/>
    <col min="18" max="18" width="10" customWidth="1"/>
    <col min="19" max="19" width="15.7109375" customWidth="1"/>
    <col min="20" max="20" width="22.5703125" customWidth="1"/>
    <col min="21" max="21" width="15.5703125" customWidth="1"/>
    <col min="22" max="22" width="23" customWidth="1"/>
    <col min="23" max="23" width="18.5703125" customWidth="1"/>
    <col min="24" max="24" width="18.28515625" customWidth="1"/>
    <col min="25" max="25" width="19.5703125" customWidth="1"/>
  </cols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</row>
    <row r="2" spans="1:25" x14ac:dyDescent="0.25">
      <c r="A2">
        <v>1.25210997964202E+19</v>
      </c>
      <c r="B2" t="s">
        <v>71</v>
      </c>
      <c r="C2">
        <v>50210</v>
      </c>
      <c r="D2">
        <v>521</v>
      </c>
      <c r="E2">
        <v>99</v>
      </c>
      <c r="F2" t="s">
        <v>72</v>
      </c>
      <c r="G2">
        <v>1810</v>
      </c>
      <c r="H2" s="1">
        <v>44743</v>
      </c>
      <c r="I2" t="s">
        <v>73</v>
      </c>
      <c r="J2" t="s">
        <v>74</v>
      </c>
      <c r="K2" t="s">
        <v>75</v>
      </c>
      <c r="L2">
        <v>515</v>
      </c>
      <c r="P2">
        <v>1</v>
      </c>
      <c r="Q2">
        <v>515</v>
      </c>
      <c r="R2" t="s">
        <v>76</v>
      </c>
      <c r="X2" t="s">
        <v>77</v>
      </c>
      <c r="Y2" t="s">
        <v>78</v>
      </c>
    </row>
    <row r="3" spans="1:25" x14ac:dyDescent="0.25">
      <c r="A3">
        <v>1.25210997996202E+19</v>
      </c>
      <c r="B3" t="s">
        <v>71</v>
      </c>
      <c r="C3">
        <v>50210</v>
      </c>
      <c r="D3">
        <v>521</v>
      </c>
      <c r="E3">
        <v>99</v>
      </c>
      <c r="F3" t="s">
        <v>72</v>
      </c>
      <c r="G3">
        <v>211853</v>
      </c>
      <c r="H3" s="1">
        <v>44743</v>
      </c>
      <c r="I3" t="s">
        <v>73</v>
      </c>
      <c r="J3" t="s">
        <v>74</v>
      </c>
      <c r="K3" t="s">
        <v>75</v>
      </c>
      <c r="L3">
        <v>277</v>
      </c>
      <c r="P3">
        <v>1</v>
      </c>
      <c r="Q3">
        <v>277</v>
      </c>
      <c r="R3" t="s">
        <v>76</v>
      </c>
      <c r="X3" t="s">
        <v>77</v>
      </c>
      <c r="Y3" t="s">
        <v>78</v>
      </c>
    </row>
    <row r="4" spans="1:25" x14ac:dyDescent="0.25">
      <c r="A4">
        <v>1.2521099796320201E+19</v>
      </c>
      <c r="B4" t="s">
        <v>71</v>
      </c>
      <c r="C4">
        <v>50210</v>
      </c>
      <c r="D4">
        <v>521</v>
      </c>
      <c r="E4">
        <v>99</v>
      </c>
      <c r="F4" t="s">
        <v>72</v>
      </c>
      <c r="G4">
        <v>210481</v>
      </c>
      <c r="H4" s="1">
        <v>44743</v>
      </c>
      <c r="I4" t="s">
        <v>73</v>
      </c>
      <c r="J4" t="s">
        <v>74</v>
      </c>
      <c r="K4" t="s">
        <v>75</v>
      </c>
      <c r="L4">
        <v>597</v>
      </c>
      <c r="P4">
        <v>1</v>
      </c>
      <c r="Q4">
        <v>597</v>
      </c>
      <c r="R4" t="s">
        <v>76</v>
      </c>
      <c r="X4" t="s">
        <v>77</v>
      </c>
      <c r="Y4" t="s">
        <v>78</v>
      </c>
    </row>
    <row r="5" spans="1:25" x14ac:dyDescent="0.25">
      <c r="A5">
        <v>1.2521099800220201E+19</v>
      </c>
      <c r="B5" t="s">
        <v>71</v>
      </c>
      <c r="C5">
        <v>50210</v>
      </c>
      <c r="D5">
        <v>521</v>
      </c>
      <c r="E5">
        <v>99</v>
      </c>
      <c r="F5" t="s">
        <v>72</v>
      </c>
      <c r="G5">
        <v>217376</v>
      </c>
      <c r="H5" s="1">
        <v>44743</v>
      </c>
      <c r="I5" t="s">
        <v>73</v>
      </c>
      <c r="J5" t="s">
        <v>74</v>
      </c>
      <c r="K5" t="s">
        <v>75</v>
      </c>
      <c r="L5">
        <v>276.8</v>
      </c>
      <c r="P5">
        <v>1</v>
      </c>
      <c r="Q5">
        <v>276.8</v>
      </c>
      <c r="R5" t="s">
        <v>76</v>
      </c>
      <c r="X5" t="s">
        <v>77</v>
      </c>
      <c r="Y5" t="s">
        <v>78</v>
      </c>
    </row>
    <row r="6" spans="1:25" x14ac:dyDescent="0.25">
      <c r="A6">
        <v>1.2521099796220201E+19</v>
      </c>
      <c r="B6" t="s">
        <v>79</v>
      </c>
      <c r="C6">
        <v>50210</v>
      </c>
      <c r="D6">
        <v>521</v>
      </c>
      <c r="E6">
        <v>99</v>
      </c>
      <c r="F6" t="s">
        <v>72</v>
      </c>
      <c r="G6">
        <v>173531</v>
      </c>
      <c r="H6" s="1">
        <v>44743</v>
      </c>
      <c r="I6" t="s">
        <v>73</v>
      </c>
      <c r="J6" t="s">
        <v>74</v>
      </c>
      <c r="K6" t="s">
        <v>75</v>
      </c>
      <c r="L6">
        <v>285</v>
      </c>
      <c r="P6">
        <v>1</v>
      </c>
      <c r="Q6">
        <v>285</v>
      </c>
      <c r="R6" t="s">
        <v>76</v>
      </c>
      <c r="X6" t="s">
        <v>77</v>
      </c>
      <c r="Y6" t="s">
        <v>78</v>
      </c>
    </row>
    <row r="7" spans="1:25" x14ac:dyDescent="0.25">
      <c r="A7">
        <v>1.2521099799520201E+19</v>
      </c>
      <c r="B7" t="s">
        <v>71</v>
      </c>
      <c r="C7">
        <v>50210</v>
      </c>
      <c r="D7">
        <v>521</v>
      </c>
      <c r="E7">
        <v>99</v>
      </c>
      <c r="F7" t="s">
        <v>72</v>
      </c>
      <c r="G7">
        <v>271580</v>
      </c>
      <c r="H7" s="1">
        <v>44743</v>
      </c>
      <c r="I7" t="s">
        <v>73</v>
      </c>
      <c r="J7" t="s">
        <v>74</v>
      </c>
      <c r="K7" t="s">
        <v>75</v>
      </c>
      <c r="L7">
        <v>1030</v>
      </c>
      <c r="P7">
        <v>1</v>
      </c>
      <c r="Q7">
        <v>1030</v>
      </c>
      <c r="R7" t="s">
        <v>76</v>
      </c>
      <c r="X7" t="s">
        <v>77</v>
      </c>
      <c r="Y7" t="s">
        <v>78</v>
      </c>
    </row>
    <row r="8" spans="1:25" x14ac:dyDescent="0.25">
      <c r="A8">
        <v>1.2521099796020199E+19</v>
      </c>
      <c r="B8" t="s">
        <v>71</v>
      </c>
      <c r="C8">
        <v>50210</v>
      </c>
      <c r="D8">
        <v>521</v>
      </c>
      <c r="E8">
        <v>99</v>
      </c>
      <c r="F8" t="s">
        <v>72</v>
      </c>
      <c r="G8">
        <v>699350</v>
      </c>
      <c r="H8" s="1">
        <v>44743</v>
      </c>
      <c r="I8" t="s">
        <v>73</v>
      </c>
      <c r="J8" t="s">
        <v>74</v>
      </c>
      <c r="K8" t="s">
        <v>75</v>
      </c>
      <c r="L8">
        <v>1696</v>
      </c>
      <c r="P8">
        <v>1</v>
      </c>
      <c r="Q8">
        <v>1696</v>
      </c>
      <c r="R8" t="s">
        <v>76</v>
      </c>
      <c r="X8" t="s">
        <v>77</v>
      </c>
      <c r="Y8" t="s">
        <v>78</v>
      </c>
    </row>
    <row r="9" spans="1:25" x14ac:dyDescent="0.25">
      <c r="A9">
        <v>1.25210997974202E+19</v>
      </c>
      <c r="B9" t="s">
        <v>71</v>
      </c>
      <c r="C9">
        <v>50210</v>
      </c>
      <c r="D9">
        <v>521</v>
      </c>
      <c r="E9">
        <v>99</v>
      </c>
      <c r="F9" t="s">
        <v>72</v>
      </c>
      <c r="G9">
        <v>895582</v>
      </c>
      <c r="H9" s="1">
        <v>44743</v>
      </c>
      <c r="I9" t="s">
        <v>73</v>
      </c>
      <c r="J9" t="s">
        <v>74</v>
      </c>
      <c r="K9" t="s">
        <v>75</v>
      </c>
      <c r="L9">
        <v>97</v>
      </c>
      <c r="P9">
        <v>1</v>
      </c>
      <c r="Q9">
        <v>97</v>
      </c>
      <c r="R9" t="s">
        <v>76</v>
      </c>
      <c r="X9" t="s">
        <v>77</v>
      </c>
      <c r="Y9" t="s">
        <v>78</v>
      </c>
    </row>
    <row r="10" spans="1:25" x14ac:dyDescent="0.25">
      <c r="A10">
        <v>1.25210998005202E+19</v>
      </c>
      <c r="B10" t="s">
        <v>79</v>
      </c>
      <c r="C10">
        <v>50210</v>
      </c>
      <c r="D10">
        <v>521</v>
      </c>
      <c r="E10">
        <v>99</v>
      </c>
      <c r="F10" t="s">
        <v>72</v>
      </c>
      <c r="G10">
        <v>239218</v>
      </c>
      <c r="H10" s="1">
        <v>44743</v>
      </c>
      <c r="I10" t="s">
        <v>73</v>
      </c>
      <c r="J10" t="s">
        <v>80</v>
      </c>
      <c r="K10" t="s">
        <v>75</v>
      </c>
      <c r="L10">
        <v>1801.15</v>
      </c>
      <c r="P10">
        <v>1</v>
      </c>
      <c r="Q10">
        <v>1801.15</v>
      </c>
      <c r="R10" t="s">
        <v>76</v>
      </c>
      <c r="X10" t="s">
        <v>77</v>
      </c>
      <c r="Y10" t="s">
        <v>78</v>
      </c>
    </row>
    <row r="11" spans="1:25" x14ac:dyDescent="0.25">
      <c r="A11">
        <v>1.2521099797920201E+19</v>
      </c>
      <c r="B11" t="s">
        <v>71</v>
      </c>
      <c r="C11">
        <v>50210</v>
      </c>
      <c r="D11">
        <v>521</v>
      </c>
      <c r="E11">
        <v>99</v>
      </c>
      <c r="F11" t="s">
        <v>72</v>
      </c>
      <c r="G11">
        <v>912467</v>
      </c>
      <c r="H11" s="1">
        <v>44743</v>
      </c>
      <c r="I11" t="s">
        <v>73</v>
      </c>
      <c r="J11" t="s">
        <v>74</v>
      </c>
      <c r="K11" t="s">
        <v>75</v>
      </c>
      <c r="L11">
        <v>297</v>
      </c>
      <c r="P11">
        <v>1</v>
      </c>
      <c r="Q11">
        <v>297</v>
      </c>
      <c r="R11" t="s">
        <v>76</v>
      </c>
      <c r="X11" t="s">
        <v>77</v>
      </c>
      <c r="Y11" t="s">
        <v>78</v>
      </c>
    </row>
    <row r="12" spans="1:25" x14ac:dyDescent="0.25">
      <c r="A12">
        <v>1.25210997998202E+19</v>
      </c>
      <c r="B12" t="s">
        <v>71</v>
      </c>
      <c r="C12">
        <v>50210</v>
      </c>
      <c r="D12">
        <v>521</v>
      </c>
      <c r="E12">
        <v>99</v>
      </c>
      <c r="F12" t="s">
        <v>72</v>
      </c>
      <c r="G12">
        <v>345292</v>
      </c>
      <c r="H12" s="1">
        <v>44743</v>
      </c>
      <c r="I12" t="s">
        <v>73</v>
      </c>
      <c r="J12" t="s">
        <v>81</v>
      </c>
      <c r="K12" t="s">
        <v>75</v>
      </c>
      <c r="L12">
        <v>4155</v>
      </c>
      <c r="P12">
        <v>1</v>
      </c>
      <c r="Q12">
        <v>4155</v>
      </c>
      <c r="R12" t="s">
        <v>76</v>
      </c>
      <c r="X12" t="s">
        <v>77</v>
      </c>
      <c r="Y12" t="s">
        <v>78</v>
      </c>
    </row>
    <row r="13" spans="1:25" x14ac:dyDescent="0.25">
      <c r="A13">
        <v>1.2521099800120199E+19</v>
      </c>
      <c r="B13" t="s">
        <v>71</v>
      </c>
      <c r="C13">
        <v>50210</v>
      </c>
      <c r="D13">
        <v>521</v>
      </c>
      <c r="E13">
        <v>99</v>
      </c>
      <c r="F13" t="s">
        <v>72</v>
      </c>
      <c r="G13">
        <v>267639</v>
      </c>
      <c r="H13" s="1">
        <v>44743</v>
      </c>
      <c r="I13" t="s">
        <v>73</v>
      </c>
      <c r="J13" t="s">
        <v>74</v>
      </c>
      <c r="K13" t="s">
        <v>75</v>
      </c>
      <c r="L13">
        <v>596.9</v>
      </c>
      <c r="P13">
        <v>1</v>
      </c>
      <c r="Q13">
        <v>596.9</v>
      </c>
      <c r="R13" t="s">
        <v>76</v>
      </c>
      <c r="X13" t="s">
        <v>77</v>
      </c>
      <c r="Y13" t="s">
        <v>78</v>
      </c>
    </row>
    <row r="14" spans="1:25" x14ac:dyDescent="0.25">
      <c r="A14">
        <v>1.2521099797120201E+19</v>
      </c>
      <c r="B14" t="s">
        <v>71</v>
      </c>
      <c r="C14">
        <v>50210</v>
      </c>
      <c r="D14">
        <v>521</v>
      </c>
      <c r="E14">
        <v>99</v>
      </c>
      <c r="F14" t="s">
        <v>72</v>
      </c>
      <c r="G14">
        <v>877218</v>
      </c>
      <c r="H14" s="1">
        <v>44743</v>
      </c>
      <c r="I14" t="s">
        <v>73</v>
      </c>
      <c r="J14" t="s">
        <v>74</v>
      </c>
      <c r="K14" t="s">
        <v>75</v>
      </c>
      <c r="L14">
        <v>675</v>
      </c>
      <c r="P14">
        <v>1</v>
      </c>
      <c r="Q14">
        <v>675</v>
      </c>
      <c r="R14" t="s">
        <v>76</v>
      </c>
      <c r="X14" t="s">
        <v>77</v>
      </c>
      <c r="Y14" t="s">
        <v>78</v>
      </c>
    </row>
    <row r="15" spans="1:25" x14ac:dyDescent="0.25">
      <c r="A15">
        <v>1.25210998006202E+19</v>
      </c>
      <c r="B15" t="s">
        <v>79</v>
      </c>
      <c r="C15">
        <v>50210</v>
      </c>
      <c r="D15">
        <v>521</v>
      </c>
      <c r="E15">
        <v>99</v>
      </c>
      <c r="F15" t="s">
        <v>72</v>
      </c>
      <c r="G15">
        <v>278899</v>
      </c>
      <c r="H15" s="1">
        <v>44743</v>
      </c>
      <c r="I15" t="s">
        <v>73</v>
      </c>
      <c r="J15" t="s">
        <v>74</v>
      </c>
      <c r="K15" t="s">
        <v>75</v>
      </c>
      <c r="L15">
        <v>199</v>
      </c>
      <c r="P15">
        <v>1</v>
      </c>
      <c r="Q15">
        <v>199</v>
      </c>
      <c r="R15" t="s">
        <v>76</v>
      </c>
      <c r="X15" t="s">
        <v>77</v>
      </c>
      <c r="Y15" t="s">
        <v>78</v>
      </c>
    </row>
    <row r="16" spans="1:25" x14ac:dyDescent="0.25">
      <c r="A16">
        <v>1.25210998007202E+19</v>
      </c>
      <c r="B16" t="s">
        <v>71</v>
      </c>
      <c r="C16">
        <v>50210</v>
      </c>
      <c r="D16">
        <v>521</v>
      </c>
      <c r="E16">
        <v>99</v>
      </c>
      <c r="F16" t="s">
        <v>72</v>
      </c>
      <c r="G16">
        <v>885366</v>
      </c>
      <c r="H16" s="1">
        <v>44743</v>
      </c>
      <c r="I16" t="s">
        <v>73</v>
      </c>
      <c r="J16" t="s">
        <v>82</v>
      </c>
      <c r="K16" t="s">
        <v>75</v>
      </c>
      <c r="L16">
        <v>997</v>
      </c>
      <c r="P16">
        <v>1</v>
      </c>
      <c r="Q16">
        <v>997</v>
      </c>
      <c r="R16" t="s">
        <v>76</v>
      </c>
      <c r="X16" t="s">
        <v>77</v>
      </c>
      <c r="Y16" t="s">
        <v>78</v>
      </c>
    </row>
    <row r="17" spans="1:25" x14ac:dyDescent="0.25">
      <c r="A17">
        <v>1.25210997991202E+19</v>
      </c>
      <c r="B17" t="s">
        <v>71</v>
      </c>
      <c r="C17">
        <v>50210</v>
      </c>
      <c r="D17">
        <v>521</v>
      </c>
      <c r="E17">
        <v>99</v>
      </c>
      <c r="F17" t="s">
        <v>72</v>
      </c>
      <c r="G17">
        <v>231092</v>
      </c>
      <c r="H17" s="1">
        <v>44743</v>
      </c>
      <c r="I17" t="s">
        <v>73</v>
      </c>
      <c r="J17" t="s">
        <v>74</v>
      </c>
      <c r="K17" t="s">
        <v>75</v>
      </c>
      <c r="L17">
        <v>4084</v>
      </c>
      <c r="P17">
        <v>1</v>
      </c>
      <c r="Q17">
        <v>4084</v>
      </c>
      <c r="R17" t="s">
        <v>76</v>
      </c>
      <c r="X17" t="s">
        <v>77</v>
      </c>
      <c r="Y17" t="s">
        <v>78</v>
      </c>
    </row>
    <row r="18" spans="1:25" x14ac:dyDescent="0.25">
      <c r="A18">
        <v>1.2521099798720201E+19</v>
      </c>
      <c r="B18" t="s">
        <v>71</v>
      </c>
      <c r="C18">
        <v>50210</v>
      </c>
      <c r="D18">
        <v>521</v>
      </c>
      <c r="E18">
        <v>99</v>
      </c>
      <c r="F18" t="s">
        <v>72</v>
      </c>
      <c r="G18">
        <v>179793</v>
      </c>
      <c r="H18" s="1">
        <v>44743</v>
      </c>
      <c r="I18" t="s">
        <v>73</v>
      </c>
      <c r="J18" t="s">
        <v>74</v>
      </c>
      <c r="K18" t="s">
        <v>75</v>
      </c>
      <c r="L18">
        <v>387</v>
      </c>
      <c r="P18">
        <v>1</v>
      </c>
      <c r="Q18">
        <v>387</v>
      </c>
      <c r="R18" t="s">
        <v>76</v>
      </c>
      <c r="X18" t="s">
        <v>77</v>
      </c>
      <c r="Y18" t="s">
        <v>78</v>
      </c>
    </row>
    <row r="19" spans="1:25" x14ac:dyDescent="0.25">
      <c r="A19">
        <v>1.2521099800020199E+19</v>
      </c>
      <c r="B19" t="s">
        <v>79</v>
      </c>
      <c r="C19">
        <v>50210</v>
      </c>
      <c r="D19">
        <v>521</v>
      </c>
      <c r="E19">
        <v>99</v>
      </c>
      <c r="F19" t="s">
        <v>72</v>
      </c>
      <c r="G19">
        <v>10263</v>
      </c>
      <c r="H19" s="1">
        <v>44743</v>
      </c>
      <c r="I19" t="s">
        <v>73</v>
      </c>
      <c r="J19" t="s">
        <v>74</v>
      </c>
      <c r="K19" t="s">
        <v>75</v>
      </c>
      <c r="L19">
        <v>3456</v>
      </c>
      <c r="P19">
        <v>1</v>
      </c>
      <c r="Q19">
        <v>3456</v>
      </c>
      <c r="R19" t="s">
        <v>76</v>
      </c>
      <c r="X19" t="s">
        <v>77</v>
      </c>
      <c r="Y19" t="s">
        <v>78</v>
      </c>
    </row>
    <row r="20" spans="1:25" x14ac:dyDescent="0.25">
      <c r="A20">
        <v>1.25210997999202E+19</v>
      </c>
      <c r="B20" t="s">
        <v>79</v>
      </c>
      <c r="C20">
        <v>50210</v>
      </c>
      <c r="D20">
        <v>521</v>
      </c>
      <c r="E20">
        <v>99</v>
      </c>
      <c r="F20" t="s">
        <v>72</v>
      </c>
      <c r="G20">
        <v>233989</v>
      </c>
      <c r="H20" s="1">
        <v>44743</v>
      </c>
      <c r="I20" t="s">
        <v>73</v>
      </c>
      <c r="J20" t="s">
        <v>74</v>
      </c>
      <c r="K20" t="s">
        <v>75</v>
      </c>
      <c r="L20">
        <v>788</v>
      </c>
      <c r="P20">
        <v>1</v>
      </c>
      <c r="Q20">
        <v>788</v>
      </c>
      <c r="R20" t="s">
        <v>76</v>
      </c>
      <c r="X20" t="s">
        <v>77</v>
      </c>
      <c r="Y20" t="s">
        <v>78</v>
      </c>
    </row>
    <row r="21" spans="1:25" x14ac:dyDescent="0.25">
      <c r="A21">
        <v>1.25210997989202E+19</v>
      </c>
      <c r="B21" t="s">
        <v>71</v>
      </c>
      <c r="C21">
        <v>50210</v>
      </c>
      <c r="D21">
        <v>521</v>
      </c>
      <c r="E21">
        <v>99</v>
      </c>
      <c r="F21" t="s">
        <v>72</v>
      </c>
      <c r="G21">
        <v>38825</v>
      </c>
      <c r="H21" s="1">
        <v>44743</v>
      </c>
      <c r="I21" t="s">
        <v>73</v>
      </c>
      <c r="J21" t="s">
        <v>74</v>
      </c>
      <c r="K21" t="s">
        <v>75</v>
      </c>
      <c r="L21">
        <v>4197</v>
      </c>
      <c r="P21">
        <v>1</v>
      </c>
      <c r="Q21">
        <v>4197</v>
      </c>
      <c r="R21" t="s">
        <v>76</v>
      </c>
      <c r="X21" t="s">
        <v>77</v>
      </c>
      <c r="Y21" t="s">
        <v>78</v>
      </c>
    </row>
    <row r="22" spans="1:25" x14ac:dyDescent="0.25">
      <c r="A22">
        <v>1.2521099800320201E+19</v>
      </c>
      <c r="B22" t="s">
        <v>71</v>
      </c>
      <c r="C22">
        <v>50210</v>
      </c>
      <c r="D22">
        <v>521</v>
      </c>
      <c r="E22">
        <v>99</v>
      </c>
      <c r="F22" t="s">
        <v>72</v>
      </c>
      <c r="G22">
        <v>265123</v>
      </c>
      <c r="H22" s="1">
        <v>44743</v>
      </c>
      <c r="I22" t="s">
        <v>73</v>
      </c>
      <c r="J22" t="s">
        <v>74</v>
      </c>
      <c r="K22" t="s">
        <v>75</v>
      </c>
      <c r="L22">
        <v>285.98</v>
      </c>
      <c r="P22">
        <v>1</v>
      </c>
      <c r="Q22">
        <v>285.98</v>
      </c>
      <c r="R22" t="s">
        <v>76</v>
      </c>
      <c r="X22" t="s">
        <v>77</v>
      </c>
      <c r="Y22" t="s">
        <v>78</v>
      </c>
    </row>
    <row r="23" spans="1:25" x14ac:dyDescent="0.25">
      <c r="A23">
        <v>1.2521099797020201E+19</v>
      </c>
      <c r="B23" t="s">
        <v>71</v>
      </c>
      <c r="C23">
        <v>50210</v>
      </c>
      <c r="D23">
        <v>521</v>
      </c>
      <c r="E23">
        <v>99</v>
      </c>
      <c r="F23" t="s">
        <v>72</v>
      </c>
      <c r="G23">
        <v>998278</v>
      </c>
      <c r="H23" s="1">
        <v>44743</v>
      </c>
      <c r="I23" t="s">
        <v>73</v>
      </c>
      <c r="J23" t="s">
        <v>83</v>
      </c>
      <c r="K23" t="s">
        <v>75</v>
      </c>
      <c r="L23">
        <v>6714</v>
      </c>
      <c r="P23">
        <v>1</v>
      </c>
      <c r="Q23">
        <v>6714</v>
      </c>
      <c r="R23" t="s">
        <v>76</v>
      </c>
      <c r="X23" t="s">
        <v>77</v>
      </c>
      <c r="Y23" t="s">
        <v>78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4DA4D-B390-4F45-8AAB-2AF52E68E7DD}">
  <dimension ref="A3:E8"/>
  <sheetViews>
    <sheetView workbookViewId="0"/>
  </sheetViews>
  <sheetFormatPr baseColWidth="10" defaultRowHeight="15" x14ac:dyDescent="0.25"/>
  <cols>
    <col min="1" max="1" width="48.140625" bestFit="1" customWidth="1"/>
    <col min="2" max="2" width="27.5703125" bestFit="1" customWidth="1"/>
    <col min="3" max="3" width="11" bestFit="1" customWidth="1"/>
    <col min="4" max="4" width="12" bestFit="1" customWidth="1"/>
    <col min="5" max="5" width="12.5703125" bestFit="1" customWidth="1"/>
  </cols>
  <sheetData>
    <row r="3" spans="1:5" x14ac:dyDescent="0.25">
      <c r="A3" s="3" t="s">
        <v>99</v>
      </c>
      <c r="B3" s="3" t="s">
        <v>84</v>
      </c>
    </row>
    <row r="4" spans="1:5" x14ac:dyDescent="0.25">
      <c r="A4" s="3" t="s">
        <v>86</v>
      </c>
      <c r="B4" t="s">
        <v>95</v>
      </c>
      <c r="C4" t="s">
        <v>93</v>
      </c>
      <c r="D4" t="s">
        <v>88</v>
      </c>
      <c r="E4" t="s">
        <v>85</v>
      </c>
    </row>
    <row r="5" spans="1:5" x14ac:dyDescent="0.25">
      <c r="A5" s="4">
        <v>50210</v>
      </c>
      <c r="B5" s="7">
        <v>200</v>
      </c>
      <c r="C5" s="7">
        <v>2370.06</v>
      </c>
      <c r="D5" s="7">
        <v>10419.700000000001</v>
      </c>
      <c r="E5" s="7">
        <v>12989.76</v>
      </c>
    </row>
    <row r="6" spans="1:5" x14ac:dyDescent="0.25">
      <c r="A6" s="5" t="s">
        <v>72</v>
      </c>
      <c r="B6" s="7">
        <v>200</v>
      </c>
      <c r="C6" s="7">
        <v>2370.06</v>
      </c>
      <c r="D6" s="7">
        <v>10419.700000000001</v>
      </c>
      <c r="E6" s="7">
        <v>12989.76</v>
      </c>
    </row>
    <row r="7" spans="1:5" x14ac:dyDescent="0.25">
      <c r="A7" s="6" t="s">
        <v>73</v>
      </c>
      <c r="B7" s="7">
        <v>200</v>
      </c>
      <c r="C7" s="7">
        <v>2370.06</v>
      </c>
      <c r="D7" s="7">
        <v>10419.700000000001</v>
      </c>
      <c r="E7" s="7">
        <v>12989.76</v>
      </c>
    </row>
    <row r="8" spans="1:5" x14ac:dyDescent="0.25">
      <c r="A8" s="4" t="s">
        <v>85</v>
      </c>
      <c r="B8" s="7">
        <v>200</v>
      </c>
      <c r="C8" s="7">
        <v>2370.06</v>
      </c>
      <c r="D8" s="7">
        <v>10419.700000000001</v>
      </c>
      <c r="E8" s="7">
        <v>12989.76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65DC0-8059-4D25-BC36-0F0E76037159}">
  <sheetPr codeName="Hoja3"/>
  <dimension ref="A1:AA4"/>
  <sheetViews>
    <sheetView workbookViewId="0">
      <selection sqref="A1:AA4"/>
    </sheetView>
  </sheetViews>
  <sheetFormatPr baseColWidth="10" defaultRowHeight="15" x14ac:dyDescent="0.25"/>
  <cols>
    <col min="4" max="4" width="20.140625" customWidth="1"/>
    <col min="5" max="5" width="15.5703125" customWidth="1"/>
    <col min="7" max="7" width="14.7109375" customWidth="1"/>
    <col min="10" max="10" width="15.7109375" customWidth="1"/>
    <col min="11" max="11" width="17.42578125" customWidth="1"/>
    <col min="12" max="12" width="16.42578125" customWidth="1"/>
    <col min="13" max="13" width="13.7109375" customWidth="1"/>
    <col min="16" max="16" width="13.85546875" customWidth="1"/>
    <col min="17" max="17" width="27.5703125" customWidth="1"/>
    <col min="18" max="18" width="26.5703125" customWidth="1"/>
    <col min="19" max="19" width="18.5703125" customWidth="1"/>
    <col min="20" max="20" width="11.5703125" customWidth="1"/>
    <col min="21" max="21" width="16.28515625" customWidth="1"/>
    <col min="22" max="22" width="12.5703125" customWidth="1"/>
    <col min="24" max="24" width="19.28515625" customWidth="1"/>
    <col min="25" max="25" width="21.42578125" customWidth="1"/>
    <col min="27" max="27" width="16.28515625" customWidth="1"/>
  </cols>
  <sheetData>
    <row r="1" spans="1:27" x14ac:dyDescent="0.25">
      <c r="A1" s="2" t="s">
        <v>25</v>
      </c>
      <c r="B1" s="2" t="s">
        <v>26</v>
      </c>
      <c r="C1" s="2" t="s">
        <v>27</v>
      </c>
      <c r="D1" s="2" t="s">
        <v>28</v>
      </c>
      <c r="E1" s="2" t="s">
        <v>29</v>
      </c>
      <c r="F1" s="2" t="s">
        <v>30</v>
      </c>
      <c r="G1" s="2" t="s">
        <v>31</v>
      </c>
      <c r="H1" s="2" t="s">
        <v>32</v>
      </c>
      <c r="I1" s="2" t="s">
        <v>33</v>
      </c>
      <c r="J1" s="2" t="s">
        <v>34</v>
      </c>
      <c r="K1" s="2" t="s">
        <v>35</v>
      </c>
      <c r="L1" s="2" t="s">
        <v>36</v>
      </c>
      <c r="M1" s="2" t="s">
        <v>37</v>
      </c>
      <c r="N1" s="2" t="s">
        <v>38</v>
      </c>
      <c r="O1" s="2" t="s">
        <v>39</v>
      </c>
      <c r="P1" s="2" t="s">
        <v>40</v>
      </c>
      <c r="Q1" s="2" t="s">
        <v>41</v>
      </c>
      <c r="R1" s="2" t="s">
        <v>42</v>
      </c>
      <c r="S1" s="2" t="s">
        <v>13</v>
      </c>
      <c r="T1" s="2" t="s">
        <v>14</v>
      </c>
      <c r="U1" s="2" t="s">
        <v>43</v>
      </c>
      <c r="V1" s="2" t="s">
        <v>44</v>
      </c>
      <c r="W1" s="2" t="s">
        <v>45</v>
      </c>
      <c r="X1" s="2" t="s">
        <v>46</v>
      </c>
      <c r="Y1" s="2" t="s">
        <v>47</v>
      </c>
      <c r="Z1" s="2" t="s">
        <v>48</v>
      </c>
      <c r="AA1" s="2" t="s">
        <v>49</v>
      </c>
    </row>
    <row r="2" spans="1:27" x14ac:dyDescent="0.25">
      <c r="A2" t="s">
        <v>88</v>
      </c>
      <c r="B2" s="1">
        <v>44743</v>
      </c>
      <c r="C2" t="s">
        <v>89</v>
      </c>
      <c r="D2" s="8" t="s">
        <v>90</v>
      </c>
      <c r="E2">
        <v>50210</v>
      </c>
      <c r="F2">
        <v>12521</v>
      </c>
      <c r="G2" t="s">
        <v>72</v>
      </c>
      <c r="H2">
        <v>99</v>
      </c>
      <c r="I2" t="s">
        <v>76</v>
      </c>
      <c r="J2" t="s">
        <v>73</v>
      </c>
      <c r="K2">
        <v>85079071</v>
      </c>
      <c r="L2" t="s">
        <v>91</v>
      </c>
      <c r="M2" t="s">
        <v>92</v>
      </c>
      <c r="N2" t="s">
        <v>75</v>
      </c>
      <c r="O2">
        <v>10419.700000000001</v>
      </c>
      <c r="S2">
        <v>10419.700000000001</v>
      </c>
      <c r="U2">
        <v>1</v>
      </c>
      <c r="V2">
        <v>10419.700000000001</v>
      </c>
      <c r="Z2" t="s">
        <v>77</v>
      </c>
    </row>
    <row r="3" spans="1:27" x14ac:dyDescent="0.25">
      <c r="A3" t="s">
        <v>93</v>
      </c>
      <c r="B3" s="1">
        <v>44743</v>
      </c>
      <c r="C3" t="s">
        <v>89</v>
      </c>
      <c r="D3" s="8" t="s">
        <v>90</v>
      </c>
      <c r="E3">
        <v>50210</v>
      </c>
      <c r="F3">
        <v>12521</v>
      </c>
      <c r="G3" t="s">
        <v>72</v>
      </c>
      <c r="H3">
        <v>99</v>
      </c>
      <c r="I3" t="s">
        <v>76</v>
      </c>
      <c r="J3" t="s">
        <v>73</v>
      </c>
      <c r="K3">
        <v>85079070</v>
      </c>
      <c r="L3" t="s">
        <v>94</v>
      </c>
      <c r="M3" t="s">
        <v>92</v>
      </c>
      <c r="N3" t="s">
        <v>75</v>
      </c>
      <c r="O3">
        <v>2370.06</v>
      </c>
      <c r="S3">
        <v>2370.06</v>
      </c>
      <c r="U3">
        <v>1</v>
      </c>
      <c r="V3">
        <v>2370.06</v>
      </c>
      <c r="Z3" t="s">
        <v>77</v>
      </c>
    </row>
    <row r="4" spans="1:27" x14ac:dyDescent="0.25">
      <c r="A4" t="s">
        <v>95</v>
      </c>
      <c r="B4" s="1">
        <v>44743</v>
      </c>
      <c r="C4" t="s">
        <v>89</v>
      </c>
      <c r="D4" s="8" t="s">
        <v>90</v>
      </c>
      <c r="E4">
        <v>50210</v>
      </c>
      <c r="F4">
        <v>12521</v>
      </c>
      <c r="G4" t="s">
        <v>72</v>
      </c>
      <c r="H4">
        <v>99</v>
      </c>
      <c r="I4" t="s">
        <v>96</v>
      </c>
      <c r="J4" t="s">
        <v>73</v>
      </c>
      <c r="K4">
        <v>9475669</v>
      </c>
      <c r="L4" t="s">
        <v>97</v>
      </c>
      <c r="M4" t="s">
        <v>98</v>
      </c>
      <c r="N4" t="s">
        <v>75</v>
      </c>
      <c r="O4">
        <v>200</v>
      </c>
      <c r="S4">
        <v>200</v>
      </c>
      <c r="U4">
        <v>1</v>
      </c>
      <c r="V4">
        <v>200</v>
      </c>
      <c r="Z4" t="s">
        <v>77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BA638-9863-40CB-B7A6-B3E54C9CEC31}">
  <dimension ref="A3:H10"/>
  <sheetViews>
    <sheetView workbookViewId="0"/>
  </sheetViews>
  <sheetFormatPr baseColWidth="10" defaultRowHeight="15" x14ac:dyDescent="0.25"/>
  <cols>
    <col min="1" max="1" width="31.28515625" bestFit="1" customWidth="1"/>
    <col min="2" max="2" width="22.42578125" bestFit="1" customWidth="1"/>
    <col min="3" max="3" width="17" bestFit="1" customWidth="1"/>
    <col min="4" max="4" width="12.5703125" bestFit="1" customWidth="1"/>
    <col min="5" max="5" width="20.140625" bestFit="1" customWidth="1"/>
    <col min="6" max="7" width="18.5703125" bestFit="1" customWidth="1"/>
    <col min="8" max="8" width="12.5703125" bestFit="1" customWidth="1"/>
  </cols>
  <sheetData>
    <row r="3" spans="1:8" x14ac:dyDescent="0.25">
      <c r="A3" s="3" t="s">
        <v>87</v>
      </c>
      <c r="F3" s="3" t="s">
        <v>63</v>
      </c>
    </row>
    <row r="4" spans="1:8" x14ac:dyDescent="0.25">
      <c r="A4" s="3" t="s">
        <v>51</v>
      </c>
      <c r="B4" s="3" t="s">
        <v>52</v>
      </c>
      <c r="C4" s="3" t="s">
        <v>54</v>
      </c>
      <c r="D4" s="3" t="s">
        <v>62</v>
      </c>
      <c r="E4" s="3" t="s">
        <v>64</v>
      </c>
      <c r="F4" t="s">
        <v>120</v>
      </c>
      <c r="G4" t="s">
        <v>106</v>
      </c>
      <c r="H4" t="s">
        <v>85</v>
      </c>
    </row>
    <row r="5" spans="1:8" x14ac:dyDescent="0.25">
      <c r="A5" t="s">
        <v>101</v>
      </c>
      <c r="B5">
        <v>50210</v>
      </c>
      <c r="C5" s="9">
        <v>44771</v>
      </c>
      <c r="D5" t="s">
        <v>105</v>
      </c>
      <c r="E5" t="s">
        <v>175</v>
      </c>
      <c r="F5" s="7">
        <v>2104</v>
      </c>
      <c r="G5" s="7">
        <v>29078.15</v>
      </c>
      <c r="H5" s="7">
        <v>31182.15</v>
      </c>
    </row>
    <row r="6" spans="1:8" x14ac:dyDescent="0.25">
      <c r="A6" t="s">
        <v>101</v>
      </c>
      <c r="B6">
        <v>50210</v>
      </c>
      <c r="C6" s="9">
        <v>44771</v>
      </c>
      <c r="D6" t="s">
        <v>176</v>
      </c>
      <c r="F6" s="7">
        <v>2104</v>
      </c>
      <c r="G6" s="7">
        <v>29078.15</v>
      </c>
      <c r="H6" s="7">
        <v>31182.15</v>
      </c>
    </row>
    <row r="7" spans="1:8" x14ac:dyDescent="0.25">
      <c r="A7" t="s">
        <v>101</v>
      </c>
      <c r="B7">
        <v>50210</v>
      </c>
      <c r="C7" s="9" t="s">
        <v>177</v>
      </c>
      <c r="F7" s="7">
        <v>2104</v>
      </c>
      <c r="G7" s="7">
        <v>29078.15</v>
      </c>
      <c r="H7" s="7">
        <v>31182.15</v>
      </c>
    </row>
    <row r="8" spans="1:8" x14ac:dyDescent="0.25">
      <c r="A8" t="s">
        <v>101</v>
      </c>
      <c r="B8" t="s">
        <v>178</v>
      </c>
      <c r="F8" s="7">
        <v>2104</v>
      </c>
      <c r="G8" s="7">
        <v>29078.15</v>
      </c>
      <c r="H8" s="7">
        <v>31182.15</v>
      </c>
    </row>
    <row r="9" spans="1:8" x14ac:dyDescent="0.25">
      <c r="A9" t="s">
        <v>179</v>
      </c>
      <c r="F9" s="7">
        <v>2104</v>
      </c>
      <c r="G9" s="7">
        <v>29078.15</v>
      </c>
      <c r="H9" s="7">
        <v>31182.15</v>
      </c>
    </row>
    <row r="10" spans="1:8" x14ac:dyDescent="0.25">
      <c r="A10" t="s">
        <v>85</v>
      </c>
      <c r="F10" s="7">
        <v>2104</v>
      </c>
      <c r="G10" s="7">
        <v>29078.15</v>
      </c>
      <c r="H10" s="7">
        <v>31182.15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AEBB4-F936-40FB-9D8F-9C51A336BC9A}">
  <sheetPr codeName="Hoja5"/>
  <dimension ref="A1:V17"/>
  <sheetViews>
    <sheetView workbookViewId="0">
      <selection sqref="A1:V17"/>
    </sheetView>
  </sheetViews>
  <sheetFormatPr baseColWidth="10" defaultRowHeight="15" x14ac:dyDescent="0.25"/>
  <cols>
    <col min="5" max="5" width="21.7109375" customWidth="1"/>
    <col min="6" max="6" width="20.140625" customWidth="1"/>
    <col min="7" max="7" width="21" customWidth="1"/>
    <col min="8" max="8" width="35.28515625" customWidth="1"/>
    <col min="9" max="9" width="39.85546875" customWidth="1"/>
    <col min="10" max="10" width="17.7109375" customWidth="1"/>
    <col min="11" max="11" width="23" customWidth="1"/>
    <col min="12" max="12" width="19" customWidth="1"/>
    <col min="13" max="13" width="22.42578125" customWidth="1"/>
    <col min="14" max="14" width="17.7109375" customWidth="1"/>
    <col min="15" max="15" width="19.7109375" customWidth="1"/>
    <col min="17" max="17" width="18.42578125" customWidth="1"/>
    <col min="18" max="18" width="15.28515625" customWidth="1"/>
    <col min="19" max="19" width="18.28515625" customWidth="1"/>
    <col min="21" max="21" width="16.42578125" customWidth="1"/>
    <col min="22" max="22" width="13.85546875" customWidth="1"/>
  </cols>
  <sheetData>
    <row r="1" spans="1:22" x14ac:dyDescent="0.25">
      <c r="A1" s="2" t="s">
        <v>50</v>
      </c>
      <c r="B1" s="2" t="s">
        <v>51</v>
      </c>
      <c r="C1" s="2" t="s">
        <v>52</v>
      </c>
      <c r="D1" s="2" t="s">
        <v>53</v>
      </c>
      <c r="E1" s="2" t="s">
        <v>54</v>
      </c>
      <c r="F1" s="2" t="s">
        <v>55</v>
      </c>
      <c r="G1" s="2" t="s">
        <v>56</v>
      </c>
      <c r="H1" s="2" t="s">
        <v>57</v>
      </c>
      <c r="I1" s="2" t="s">
        <v>58</v>
      </c>
      <c r="J1" s="2" t="s">
        <v>59</v>
      </c>
      <c r="K1" s="2" t="s">
        <v>60</v>
      </c>
      <c r="L1" s="2" t="s">
        <v>61</v>
      </c>
      <c r="M1" s="2" t="s">
        <v>62</v>
      </c>
      <c r="N1" s="2" t="s">
        <v>63</v>
      </c>
      <c r="O1" s="2" t="s">
        <v>64</v>
      </c>
      <c r="P1" s="2" t="s">
        <v>11</v>
      </c>
      <c r="Q1" s="2" t="s">
        <v>65</v>
      </c>
      <c r="R1" s="2" t="s">
        <v>66</v>
      </c>
      <c r="S1" s="2" t="s">
        <v>67</v>
      </c>
      <c r="T1" s="2" t="s">
        <v>68</v>
      </c>
      <c r="U1" s="2" t="s">
        <v>69</v>
      </c>
      <c r="V1" s="2" t="s">
        <v>70</v>
      </c>
    </row>
    <row r="2" spans="1:22" x14ac:dyDescent="0.25">
      <c r="A2" t="s">
        <v>100</v>
      </c>
      <c r="B2" t="s">
        <v>101</v>
      </c>
      <c r="C2">
        <v>50210</v>
      </c>
      <c r="D2">
        <v>99</v>
      </c>
      <c r="E2" s="9">
        <v>44771</v>
      </c>
      <c r="F2">
        <v>8007</v>
      </c>
      <c r="G2" s="8" t="s">
        <v>102</v>
      </c>
      <c r="J2" s="8" t="s">
        <v>103</v>
      </c>
      <c r="L2" t="s">
        <v>104</v>
      </c>
      <c r="M2" t="s">
        <v>105</v>
      </c>
      <c r="N2" t="s">
        <v>106</v>
      </c>
      <c r="P2">
        <v>997</v>
      </c>
      <c r="Q2" s="8" t="s">
        <v>107</v>
      </c>
      <c r="R2" s="8" t="s">
        <v>108</v>
      </c>
      <c r="S2" t="s">
        <v>109</v>
      </c>
      <c r="T2" t="s">
        <v>110</v>
      </c>
      <c r="V2" t="s">
        <v>111</v>
      </c>
    </row>
    <row r="3" spans="1:22" x14ac:dyDescent="0.25">
      <c r="A3" t="s">
        <v>100</v>
      </c>
      <c r="B3" t="s">
        <v>101</v>
      </c>
      <c r="C3">
        <v>50210</v>
      </c>
      <c r="D3">
        <v>99</v>
      </c>
      <c r="E3" s="9">
        <v>44771</v>
      </c>
      <c r="F3">
        <v>7999</v>
      </c>
      <c r="G3" s="8" t="s">
        <v>112</v>
      </c>
      <c r="J3" s="8" t="s">
        <v>113</v>
      </c>
      <c r="L3" t="s">
        <v>104</v>
      </c>
      <c r="M3" t="s">
        <v>105</v>
      </c>
      <c r="N3" t="s">
        <v>106</v>
      </c>
      <c r="P3">
        <v>788</v>
      </c>
      <c r="Q3" s="8" t="s">
        <v>114</v>
      </c>
      <c r="R3" s="8" t="s">
        <v>108</v>
      </c>
      <c r="S3" t="s">
        <v>115</v>
      </c>
      <c r="T3" t="s">
        <v>116</v>
      </c>
      <c r="V3" t="s">
        <v>117</v>
      </c>
    </row>
    <row r="4" spans="1:22" x14ac:dyDescent="0.25">
      <c r="A4" t="s">
        <v>100</v>
      </c>
      <c r="B4" t="s">
        <v>101</v>
      </c>
      <c r="C4">
        <v>50210</v>
      </c>
      <c r="D4">
        <v>99</v>
      </c>
      <c r="E4" s="9">
        <v>44771</v>
      </c>
      <c r="F4">
        <v>7979</v>
      </c>
      <c r="G4" s="8" t="s">
        <v>118</v>
      </c>
      <c r="J4" s="8" t="s">
        <v>119</v>
      </c>
      <c r="L4" t="s">
        <v>104</v>
      </c>
      <c r="M4" t="s">
        <v>105</v>
      </c>
      <c r="N4" t="s">
        <v>120</v>
      </c>
      <c r="P4">
        <v>1000</v>
      </c>
      <c r="Q4" s="8" t="s">
        <v>121</v>
      </c>
      <c r="R4" s="8" t="s">
        <v>108</v>
      </c>
      <c r="S4" t="s">
        <v>122</v>
      </c>
    </row>
    <row r="5" spans="1:22" x14ac:dyDescent="0.25">
      <c r="A5" t="s">
        <v>100</v>
      </c>
      <c r="B5" t="s">
        <v>101</v>
      </c>
      <c r="C5">
        <v>50210</v>
      </c>
      <c r="D5">
        <v>99</v>
      </c>
      <c r="E5" s="9">
        <v>44771</v>
      </c>
      <c r="F5">
        <v>7989</v>
      </c>
      <c r="G5" s="8" t="s">
        <v>123</v>
      </c>
      <c r="J5" s="8" t="s">
        <v>124</v>
      </c>
      <c r="L5" t="s">
        <v>104</v>
      </c>
      <c r="M5" t="s">
        <v>105</v>
      </c>
      <c r="N5" t="s">
        <v>106</v>
      </c>
      <c r="P5">
        <v>4197</v>
      </c>
      <c r="Q5" s="8" t="s">
        <v>125</v>
      </c>
      <c r="R5" s="8" t="s">
        <v>108</v>
      </c>
      <c r="S5" t="s">
        <v>126</v>
      </c>
      <c r="T5" t="s">
        <v>127</v>
      </c>
      <c r="V5" t="s">
        <v>117</v>
      </c>
    </row>
    <row r="6" spans="1:22" x14ac:dyDescent="0.25">
      <c r="A6" t="s">
        <v>100</v>
      </c>
      <c r="B6" t="s">
        <v>101</v>
      </c>
      <c r="C6">
        <v>50210</v>
      </c>
      <c r="D6">
        <v>99</v>
      </c>
      <c r="E6" s="9">
        <v>44771</v>
      </c>
      <c r="F6">
        <v>7970</v>
      </c>
      <c r="G6" s="8" t="s">
        <v>128</v>
      </c>
      <c r="J6" s="8" t="s">
        <v>129</v>
      </c>
      <c r="L6" t="s">
        <v>104</v>
      </c>
      <c r="M6" t="s">
        <v>105</v>
      </c>
      <c r="N6" t="s">
        <v>106</v>
      </c>
      <c r="P6">
        <v>6714</v>
      </c>
      <c r="Q6" s="8" t="s">
        <v>130</v>
      </c>
      <c r="R6" s="8" t="s">
        <v>108</v>
      </c>
      <c r="S6" t="s">
        <v>131</v>
      </c>
      <c r="T6" t="s">
        <v>110</v>
      </c>
      <c r="V6" t="s">
        <v>132</v>
      </c>
    </row>
    <row r="7" spans="1:22" x14ac:dyDescent="0.25">
      <c r="A7" t="s">
        <v>100</v>
      </c>
      <c r="B7" t="s">
        <v>101</v>
      </c>
      <c r="C7">
        <v>50210</v>
      </c>
      <c r="D7">
        <v>99</v>
      </c>
      <c r="E7" s="9">
        <v>44771</v>
      </c>
      <c r="F7">
        <v>7963</v>
      </c>
      <c r="G7" s="8" t="s">
        <v>133</v>
      </c>
      <c r="J7" s="8" t="s">
        <v>134</v>
      </c>
      <c r="L7" t="s">
        <v>104</v>
      </c>
      <c r="M7" t="s">
        <v>105</v>
      </c>
      <c r="N7" t="s">
        <v>106</v>
      </c>
      <c r="P7">
        <v>597</v>
      </c>
      <c r="Q7" s="8" t="s">
        <v>135</v>
      </c>
      <c r="R7" s="8" t="s">
        <v>108</v>
      </c>
      <c r="S7" t="s">
        <v>136</v>
      </c>
      <c r="T7" t="s">
        <v>137</v>
      </c>
      <c r="V7" t="s">
        <v>117</v>
      </c>
    </row>
    <row r="8" spans="1:22" x14ac:dyDescent="0.25">
      <c r="A8" t="s">
        <v>100</v>
      </c>
      <c r="B8" t="s">
        <v>101</v>
      </c>
      <c r="C8">
        <v>50210</v>
      </c>
      <c r="D8">
        <v>99</v>
      </c>
      <c r="E8" s="9">
        <v>44771</v>
      </c>
      <c r="F8">
        <v>7973</v>
      </c>
      <c r="G8" s="8" t="s">
        <v>138</v>
      </c>
      <c r="J8" s="8" t="s">
        <v>139</v>
      </c>
      <c r="L8" t="s">
        <v>104</v>
      </c>
      <c r="M8" t="s">
        <v>105</v>
      </c>
      <c r="N8" t="s">
        <v>120</v>
      </c>
      <c r="P8">
        <v>747</v>
      </c>
      <c r="Q8" s="8" t="s">
        <v>140</v>
      </c>
      <c r="R8" s="8" t="s">
        <v>108</v>
      </c>
      <c r="S8" t="s">
        <v>141</v>
      </c>
    </row>
    <row r="9" spans="1:22" x14ac:dyDescent="0.25">
      <c r="A9" t="s">
        <v>100</v>
      </c>
      <c r="B9" t="s">
        <v>101</v>
      </c>
      <c r="C9">
        <v>50210</v>
      </c>
      <c r="D9">
        <v>99</v>
      </c>
      <c r="E9" s="9">
        <v>44771</v>
      </c>
      <c r="F9">
        <v>8000</v>
      </c>
      <c r="G9" s="8" t="s">
        <v>142</v>
      </c>
      <c r="J9" s="8" t="s">
        <v>143</v>
      </c>
      <c r="L9" t="s">
        <v>104</v>
      </c>
      <c r="M9" t="s">
        <v>105</v>
      </c>
      <c r="N9" t="s">
        <v>106</v>
      </c>
      <c r="P9">
        <v>3456</v>
      </c>
      <c r="Q9" s="8" t="s">
        <v>144</v>
      </c>
      <c r="R9" s="8" t="s">
        <v>108</v>
      </c>
      <c r="S9" t="s">
        <v>145</v>
      </c>
      <c r="T9" t="s">
        <v>116</v>
      </c>
      <c r="V9" t="s">
        <v>117</v>
      </c>
    </row>
    <row r="10" spans="1:22" x14ac:dyDescent="0.25">
      <c r="A10" t="s">
        <v>100</v>
      </c>
      <c r="B10" t="s">
        <v>101</v>
      </c>
      <c r="C10">
        <v>50210</v>
      </c>
      <c r="D10">
        <v>99</v>
      </c>
      <c r="E10" s="9">
        <v>44771</v>
      </c>
      <c r="F10">
        <v>7979</v>
      </c>
      <c r="G10" s="8" t="s">
        <v>118</v>
      </c>
      <c r="J10" s="8" t="s">
        <v>119</v>
      </c>
      <c r="L10" t="s">
        <v>104</v>
      </c>
      <c r="M10" t="s">
        <v>105</v>
      </c>
      <c r="N10" t="s">
        <v>106</v>
      </c>
      <c r="P10">
        <v>297</v>
      </c>
      <c r="Q10" s="8" t="s">
        <v>121</v>
      </c>
      <c r="R10" s="8" t="s">
        <v>108</v>
      </c>
      <c r="S10" t="s">
        <v>122</v>
      </c>
      <c r="T10" t="s">
        <v>127</v>
      </c>
      <c r="V10" t="s">
        <v>117</v>
      </c>
    </row>
    <row r="11" spans="1:22" x14ac:dyDescent="0.25">
      <c r="A11" t="s">
        <v>100</v>
      </c>
      <c r="B11" t="s">
        <v>101</v>
      </c>
      <c r="C11">
        <v>50210</v>
      </c>
      <c r="D11">
        <v>99</v>
      </c>
      <c r="E11" s="9">
        <v>44771</v>
      </c>
      <c r="F11">
        <v>7960</v>
      </c>
      <c r="G11" s="8" t="s">
        <v>146</v>
      </c>
      <c r="J11" s="8" t="s">
        <v>147</v>
      </c>
      <c r="L11" t="s">
        <v>104</v>
      </c>
      <c r="M11" t="s">
        <v>105</v>
      </c>
      <c r="N11" t="s">
        <v>106</v>
      </c>
      <c r="P11">
        <v>1696</v>
      </c>
      <c r="Q11" s="8" t="s">
        <v>148</v>
      </c>
      <c r="R11" s="8" t="s">
        <v>108</v>
      </c>
      <c r="S11" t="s">
        <v>149</v>
      </c>
      <c r="T11" t="s">
        <v>127</v>
      </c>
      <c r="V11" t="s">
        <v>117</v>
      </c>
    </row>
    <row r="12" spans="1:22" x14ac:dyDescent="0.25">
      <c r="A12" t="s">
        <v>100</v>
      </c>
      <c r="B12" t="s">
        <v>101</v>
      </c>
      <c r="C12">
        <v>50210</v>
      </c>
      <c r="D12">
        <v>99</v>
      </c>
      <c r="E12" s="9">
        <v>44771</v>
      </c>
      <c r="F12">
        <v>8006</v>
      </c>
      <c r="G12" s="8" t="s">
        <v>150</v>
      </c>
      <c r="J12" s="8" t="s">
        <v>151</v>
      </c>
      <c r="L12" t="s">
        <v>104</v>
      </c>
      <c r="M12" t="s">
        <v>105</v>
      </c>
      <c r="N12" t="s">
        <v>106</v>
      </c>
      <c r="P12">
        <v>199</v>
      </c>
      <c r="Q12" s="8" t="s">
        <v>152</v>
      </c>
      <c r="R12" s="8" t="s">
        <v>108</v>
      </c>
      <c r="S12" t="s">
        <v>153</v>
      </c>
      <c r="T12" t="s">
        <v>116</v>
      </c>
      <c r="V12" t="s">
        <v>117</v>
      </c>
    </row>
    <row r="13" spans="1:22" x14ac:dyDescent="0.25">
      <c r="A13" t="s">
        <v>100</v>
      </c>
      <c r="B13" t="s">
        <v>101</v>
      </c>
      <c r="C13">
        <v>50210</v>
      </c>
      <c r="D13">
        <v>99</v>
      </c>
      <c r="E13" s="9">
        <v>44771</v>
      </c>
      <c r="F13">
        <v>7991</v>
      </c>
      <c r="G13" s="8" t="s">
        <v>154</v>
      </c>
      <c r="J13" s="8" t="s">
        <v>155</v>
      </c>
      <c r="L13" t="s">
        <v>104</v>
      </c>
      <c r="M13" t="s">
        <v>105</v>
      </c>
      <c r="N13" t="s">
        <v>106</v>
      </c>
      <c r="P13">
        <v>4084</v>
      </c>
      <c r="Q13" s="8" t="s">
        <v>156</v>
      </c>
      <c r="R13" s="8" t="s">
        <v>108</v>
      </c>
      <c r="S13" t="s">
        <v>157</v>
      </c>
      <c r="T13" t="s">
        <v>137</v>
      </c>
      <c r="V13" t="s">
        <v>117</v>
      </c>
    </row>
    <row r="14" spans="1:22" x14ac:dyDescent="0.25">
      <c r="A14" t="s">
        <v>100</v>
      </c>
      <c r="B14" t="s">
        <v>101</v>
      </c>
      <c r="C14">
        <v>50210</v>
      </c>
      <c r="D14">
        <v>99</v>
      </c>
      <c r="E14" s="9">
        <v>44771</v>
      </c>
      <c r="F14">
        <v>8005</v>
      </c>
      <c r="G14" s="8" t="s">
        <v>158</v>
      </c>
      <c r="J14" s="8" t="s">
        <v>159</v>
      </c>
      <c r="L14" t="s">
        <v>104</v>
      </c>
      <c r="M14" t="s">
        <v>105</v>
      </c>
      <c r="N14" t="s">
        <v>106</v>
      </c>
      <c r="P14">
        <v>1801.15</v>
      </c>
      <c r="Q14" s="8" t="s">
        <v>160</v>
      </c>
      <c r="R14" s="8" t="s">
        <v>108</v>
      </c>
      <c r="S14" t="s">
        <v>161</v>
      </c>
      <c r="T14" t="s">
        <v>110</v>
      </c>
      <c r="V14" t="s">
        <v>162</v>
      </c>
    </row>
    <row r="15" spans="1:22" x14ac:dyDescent="0.25">
      <c r="A15" t="s">
        <v>100</v>
      </c>
      <c r="B15" t="s">
        <v>101</v>
      </c>
      <c r="C15">
        <v>50210</v>
      </c>
      <c r="D15">
        <v>99</v>
      </c>
      <c r="E15" s="9">
        <v>44771</v>
      </c>
      <c r="F15">
        <v>7968</v>
      </c>
      <c r="G15" s="8" t="s">
        <v>163</v>
      </c>
      <c r="J15" s="8" t="s">
        <v>164</v>
      </c>
      <c r="L15" t="s">
        <v>104</v>
      </c>
      <c r="M15" t="s">
        <v>105</v>
      </c>
      <c r="N15" t="s">
        <v>120</v>
      </c>
      <c r="P15">
        <v>357</v>
      </c>
      <c r="Q15" s="8" t="s">
        <v>165</v>
      </c>
      <c r="R15" s="8" t="s">
        <v>108</v>
      </c>
      <c r="S15" t="s">
        <v>166</v>
      </c>
    </row>
    <row r="16" spans="1:22" x14ac:dyDescent="0.25">
      <c r="A16" t="s">
        <v>100</v>
      </c>
      <c r="B16" t="s">
        <v>101</v>
      </c>
      <c r="C16">
        <v>50210</v>
      </c>
      <c r="D16">
        <v>99</v>
      </c>
      <c r="E16" s="9">
        <v>44771</v>
      </c>
      <c r="F16">
        <v>7974</v>
      </c>
      <c r="G16" s="8" t="s">
        <v>167</v>
      </c>
      <c r="J16" s="8" t="s">
        <v>168</v>
      </c>
      <c r="L16" t="s">
        <v>104</v>
      </c>
      <c r="M16" t="s">
        <v>105</v>
      </c>
      <c r="N16" t="s">
        <v>106</v>
      </c>
      <c r="P16">
        <v>97</v>
      </c>
      <c r="Q16" s="8" t="s">
        <v>169</v>
      </c>
      <c r="R16" s="8" t="s">
        <v>108</v>
      </c>
      <c r="S16" t="s">
        <v>122</v>
      </c>
      <c r="T16" t="s">
        <v>127</v>
      </c>
      <c r="V16" t="s">
        <v>117</v>
      </c>
    </row>
    <row r="17" spans="1:22" x14ac:dyDescent="0.25">
      <c r="A17" t="s">
        <v>100</v>
      </c>
      <c r="B17" t="s">
        <v>101</v>
      </c>
      <c r="C17">
        <v>50210</v>
      </c>
      <c r="D17">
        <v>99</v>
      </c>
      <c r="E17" s="9">
        <v>44771</v>
      </c>
      <c r="F17">
        <v>7998</v>
      </c>
      <c r="G17" s="8" t="s">
        <v>170</v>
      </c>
      <c r="J17" s="8" t="s">
        <v>171</v>
      </c>
      <c r="L17" t="s">
        <v>104</v>
      </c>
      <c r="M17" t="s">
        <v>105</v>
      </c>
      <c r="N17" t="s">
        <v>106</v>
      </c>
      <c r="P17">
        <v>4155</v>
      </c>
      <c r="Q17" s="8" t="s">
        <v>172</v>
      </c>
      <c r="R17" s="8" t="s">
        <v>108</v>
      </c>
      <c r="S17" t="s">
        <v>173</v>
      </c>
      <c r="T17" t="s">
        <v>116</v>
      </c>
      <c r="V17" t="s">
        <v>174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Cierre</vt:lpstr>
      <vt:lpstr>tblTarjetas</vt:lpstr>
      <vt:lpstr>Tarjetas</vt:lpstr>
      <vt:lpstr>tblDepositos</vt:lpstr>
      <vt:lpstr>Depositos</vt:lpstr>
      <vt:lpstr>tblTransaccional</vt:lpstr>
      <vt:lpstr>Transaccional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Adolfo Coronado Gomez</dc:creator>
  <cp:lastModifiedBy>Cristian Adolfo Coronado Gomez</cp:lastModifiedBy>
  <dcterms:created xsi:type="dcterms:W3CDTF">2015-06-05T18:19:34Z</dcterms:created>
  <dcterms:modified xsi:type="dcterms:W3CDTF">2022-08-01T16:06:44Z</dcterms:modified>
</cp:coreProperties>
</file>