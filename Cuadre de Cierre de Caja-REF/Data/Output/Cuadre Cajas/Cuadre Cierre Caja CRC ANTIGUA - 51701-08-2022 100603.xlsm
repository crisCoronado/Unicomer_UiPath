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BBF4620F-AD9C-451E-9F7C-C883355BDA86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131" r:id="rId8"/>
    <pivotCache cacheId="132" r:id="rId9"/>
    <pivotCache cacheId="13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<sst xmlns="http://schemas.openxmlformats.org/spreadsheetml/2006/main" count="357" uniqueCount="169">
  <si>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</si>
  <si>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</si>
  <si>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</si>
  <si>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</si>
  <si>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</si>
  <si>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</si>
  <si>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</si>
  <si>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</si>
  <si>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</si>
  <si>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</si>
  <si>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</si>
  <si>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</si>
  <si>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</si>
  <si>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</si>
  <si>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</si>
  <si>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</si>
  <si>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</si>
  <si>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</si>
  <si>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</si>
  <si>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</si>
  <si>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</si>
  <si>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</si>
  <si>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</si>
  <si>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</si>
  <si>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</si>
  <si>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</si>
  <si>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</si>
  <si>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</si>
  <si>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</si>
  <si>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</si>
  <si>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</si>
  <si>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</si>
  <si>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</si>
  <si>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</si>
  <si>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</si>
  <si>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</si>
  <si>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</si>
  <si>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</si>
  <si>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</si>
  <si>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</si>
  <si>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</si>
  <si>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</si>
  <si>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</si>
  <si>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</si>
  <si>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</si>
  <si>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</si>
  <si>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</si>
  <si>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</si>
  <si>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</si>
  <si>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</si>
  <si>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</si>
  <si>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</si>
  <si>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</si>
  <si>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</si>
  <si>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</si>
  <si>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</si>
  <si>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</si>
  <si>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</si>
  <si>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</si>
  <si>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</si>
  <si>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</si>
  <si>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</si>
  <si>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</si>
  <si>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</si>
  <si>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</si>
  <si>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</si>
  <si>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</si>
  <si>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</si>
  <si>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</si>
  <si>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</si>
  <si>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</si>
  <si>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</si>
  <si>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UNICOMER-LA CURACAO-ANTIGUA-</t>
  </si>
  <si>
    <t>29/07/2022</t>
  </si>
  <si>
    <t>VISANET 10 PAGOS</t>
  </si>
  <si>
    <t>GTQ</t>
  </si>
  <si>
    <t>NOC</t>
  </si>
  <si>
    <t>USIEL AUGUSTO BLANCO GALICIA</t>
  </si>
  <si>
    <t>system</t>
  </si>
  <si>
    <t>TARJETA</t>
  </si>
  <si>
    <t>Union Comercial de Guatemala, S.A. - Banco de America Central, S.A.</t>
  </si>
  <si>
    <t>LUIS FERNANDO JIMENEZ LOPEZ</t>
  </si>
  <si>
    <t>VISANET 48 PAGOS</t>
  </si>
  <si>
    <t>Etiquetas de columna</t>
  </si>
  <si>
    <t>Total general</t>
  </si>
  <si>
    <t>Etiquetas de fila</t>
  </si>
  <si>
    <t>Suma de MONTO</t>
  </si>
  <si>
    <t>UNICOSERVI</t>
  </si>
  <si>
    <t>CSH</t>
  </si>
  <si>
    <t>12517000083220220729</t>
  </si>
  <si>
    <t>000-000908-4</t>
  </si>
  <si>
    <t>Banco Industrial, S.A.</t>
  </si>
  <si>
    <t>Suma de Monto</t>
  </si>
  <si>
    <t>LA CURACAO</t>
  </si>
  <si>
    <t>CRC ANTIGUA</t>
  </si>
  <si>
    <t>12517011864220220729</t>
  </si>
  <si>
    <t>48CA87693421783261</t>
  </si>
  <si>
    <t>Factura Consumidor Final</t>
  </si>
  <si>
    <t>Venta Cotización contado</t>
  </si>
  <si>
    <t>Efectivo</t>
  </si>
  <si>
    <t>125172042203VQ</t>
  </si>
  <si>
    <t/>
  </si>
  <si>
    <t xml:space="preserve">BYRON    PAREDES  </t>
  </si>
  <si>
    <t>12517011862420220729</t>
  </si>
  <si>
    <t>43E79453926239320</t>
  </si>
  <si>
    <t>125172052202H3</t>
  </si>
  <si>
    <t>JOSE ANIBAL MATIAS HERNANDEZ</t>
  </si>
  <si>
    <t>12517011859920220729</t>
  </si>
  <si>
    <t>0465BD3D1354780274</t>
  </si>
  <si>
    <t>Pay pal</t>
  </si>
  <si>
    <t>125232072200YH</t>
  </si>
  <si>
    <t xml:space="preserve">HERBER   OCHOA  </t>
  </si>
  <si>
    <t>Tarjeta de Credito</t>
  </si>
  <si>
    <t>BANCO AGROMERCANTIL, S.A.</t>
  </si>
  <si>
    <t>Card</t>
  </si>
  <si>
    <t>12517011860320220729</t>
  </si>
  <si>
    <t>BAEE7C081011303287</t>
  </si>
  <si>
    <t>1251724322001J</t>
  </si>
  <si>
    <t>CARLOS HUMBERTO CHACON BAEZA</t>
  </si>
  <si>
    <t>Visanet10Pagos</t>
  </si>
  <si>
    <t>12517011860020220729</t>
  </si>
  <si>
    <t>235022F91437943227</t>
  </si>
  <si>
    <t>125232072200YJ</t>
  </si>
  <si>
    <t>12517011859720220729</t>
  </si>
  <si>
    <t>8D654AA61589463036</t>
  </si>
  <si>
    <t>125232072200YF</t>
  </si>
  <si>
    <t xml:space="preserve">ENRIQUE   GIL  </t>
  </si>
  <si>
    <t>12517011863120220729</t>
  </si>
  <si>
    <t>8F7EFBD02674409572</t>
  </si>
  <si>
    <t>125172052202H5</t>
  </si>
  <si>
    <t>OLIVER JOSE MONTERROSO MONROY</t>
  </si>
  <si>
    <t>12517011863420220729</t>
  </si>
  <si>
    <t>8BA789463919266924</t>
  </si>
  <si>
    <t>1251724422001L</t>
  </si>
  <si>
    <t>PABLO RENE ORTIZ FLORES</t>
  </si>
  <si>
    <t>12517011861520220729</t>
  </si>
  <si>
    <t>FD6E81E6809844786</t>
  </si>
  <si>
    <t>1251724422001D</t>
  </si>
  <si>
    <t>LIDIA   GARCIA  DE VERAS</t>
  </si>
  <si>
    <t>BANCO PROMERICA, S.A.|1-233105</t>
  </si>
  <si>
    <t>Visanet48Pago</t>
  </si>
  <si>
    <t>12517011861320220729</t>
  </si>
  <si>
    <t>5F7026D9417350855</t>
  </si>
  <si>
    <t>125172052202H2</t>
  </si>
  <si>
    <t>EVELIN XIOMARA MORALES ROLDAN</t>
  </si>
  <si>
    <t>12517011862620220729</t>
  </si>
  <si>
    <t>D0D54A87969492876</t>
  </si>
  <si>
    <t>1251724422001J</t>
  </si>
  <si>
    <t xml:space="preserve">GERSON DAMIAN  MORALES CUTZAN </t>
  </si>
  <si>
    <t>12517011859820220729</t>
  </si>
  <si>
    <t>5B9749EA2125153090</t>
  </si>
  <si>
    <t>125232072200YG</t>
  </si>
  <si>
    <t>(en blanco)</t>
  </si>
  <si>
    <t>Total Venta Cotización contado</t>
  </si>
  <si>
    <t>Total 29/07/2022</t>
  </si>
  <si>
    <t>Total 50208</t>
  </si>
  <si>
    <t>Total CRC ANTIGUA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</si>
  <si>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</si>
  <si>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</si>
  <si>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</si>
  <si>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</si>
  <si>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</si>
  <si>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</si>
  <si>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</si>
  <si>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</si>
  <si>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</si>
  <si>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</si>
  <si>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</si>
  <si>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UNICOMER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</si>
</sst>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886921296" createdVersion="3" refreshedVersion="8" minRefreshableVersion="3" recordCount="8" xr:uid="{094EFB40-8919-4791-B0CA-99142F75992D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7011860320201E+19" maxValue="1.25170118644202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8" maxValue="50208" count="1">
        <n v="50208"/>
      </sharedItems>
    </cacheField>
    <cacheField name="RI" numFmtId="0">
      <sharedItems containsSemiMixedTypes="0" containsString="0" containsNumber="1" containsInteger="1" minValue="517" maxValue="517"/>
    </cacheField>
    <cacheField name="NO CAJA" numFmtId="0">
      <sharedItems containsSemiMixedTypes="0" containsString="0" containsNumber="1" containsInteger="1" minValue="11" maxValue="11"/>
    </cacheField>
    <cacheField name="DESC ALMACEN" numFmtId="0">
      <sharedItems count="1">
        <s v="UNICOMER-LA CURACAO-ANTIGUA-"/>
      </sharedItems>
    </cacheField>
    <cacheField name="REFERENCIA" numFmtId="0">
      <sharedItems containsSemiMixedTypes="0" containsString="0" containsNumber="1" containsInteger="1" minValue="55534" maxValue="762876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minValue="346" maxValue="9297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346" maxValue="9297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913657406" createdVersion="3" refreshedVersion="8" minRefreshableVersion="3" recordCount="1" xr:uid="{2C24A57F-6743-469E-8D17-08424AD8504D}">
  <cacheSource type="worksheet">
    <worksheetSource name="Tabla2"/>
  </cacheSource>
  <cacheFields count="27">
    <cacheField name="Compañia" numFmtId="0">
      <sharedItems count="1">
        <s v="UNICOSERVI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8" maxValue="50208" count="1">
        <n v="50208"/>
      </sharedItems>
    </cacheField>
    <cacheField name="Tienda" numFmtId="0">
      <sharedItems containsSemiMixedTypes="0" containsString="0" containsNumber="1" containsInteger="1" minValue="12517" maxValue="12517"/>
    </cacheField>
    <cacheField name="Desc Almacen" numFmtId="0">
      <sharedItems count="1">
        <s v="UNICOMER-LA CURACAO-ANTIGUA-"/>
      </sharedItems>
    </cacheField>
    <cacheField name="Caja" numFmtId="0">
      <sharedItems containsSemiMixedTypes="0" containsString="0" containsNumber="1" containsInteger="1" minValue="11" maxValue="11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74242751" maxValue="74242751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15497.25" maxValue="15497.25"/>
    </cacheField>
    <cacheField name="Fecha Banco" numFmtId="0">
      <sharedItems containsNonDate="0" containsString="0" containsBlank="1"/>
    </cacheField>
    <cacheField name="Número Déposito Confirmado" numFmtId="0">
      <sharedItems containsNonDate="0" containsString="0" containsBlank="1"/>
    </cacheField>
    <cacheField name="Número Cuenta Confirmada" numFmtId="0">
      <sharedItems containsNonDate="0" containsString="0" containsBlank="1"/>
    </cacheField>
    <cacheField name="Monto Confirmado" numFmtId="0">
      <sharedItems containsSemiMixedTypes="0" containsString="0" containsNumber="1" minValue="15497.25" maxValue="15497.25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15497.25" maxValue="15497.25"/>
    </cacheField>
    <cacheField name="Motivo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973032407" createdVersion="3" refreshedVersion="8" minRefreshableVersion="3" recordCount="13" xr:uid="{4CE49F03-8F10-4260-84BD-918B4D6B2AFA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ANTIGUA"/>
      </sharedItems>
    </cacheField>
    <cacheField name="CDA" numFmtId="0">
      <sharedItems containsSemiMixedTypes="0" containsString="0" containsNumber="1" containsInteger="1" minValue="50208" maxValue="50208" count="1">
        <n v="50208"/>
      </sharedItems>
    </cacheField>
    <cacheField name="CAJA" numFmtId="0">
      <sharedItems containsSemiMixedTypes="0" containsString="0" containsNumber="1" containsInteger="1" minValue="11" maxValue="11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8597" maxValue="8642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1">
        <s v="Venta Cotización contado"/>
      </sharedItems>
    </cacheField>
    <cacheField name="FORMA DE PAGO" numFmtId="0">
      <sharedItems count="3">
        <s v="Efectivo"/>
        <s v="Pay pal"/>
        <s v="Tarjeta de Credit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containsInteger="1" minValue="20" maxValue="9297"/>
    </cacheField>
    <cacheField name="NUM_COTIZACON" numFmtId="0">
      <sharedItems/>
    </cacheField>
    <cacheField name="NUM_CUENTA" numFmtId="0">
      <sharedItems/>
    </cacheField>
    <cacheField name="NOMBRE_CLIENTE" numFmtId="0">
      <sharedItems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1.2517011860320201E+19"/>
    <s v="Union Comercial de Guatemala, S.A. - Banco G&amp;T Continental, S.A."/>
    <x v="0"/>
    <n v="517"/>
    <n v="11"/>
    <x v="0"/>
    <n v="55534"/>
    <d v="2022-07-01T00:00:00"/>
    <x v="0"/>
    <s v="VISANET 10 PAGOS"/>
    <s v="GTQ"/>
    <n v="2773"/>
    <m/>
    <m/>
    <m/>
    <n v="1"/>
    <n v="2773"/>
    <x v="0"/>
    <m/>
    <m/>
    <m/>
    <m/>
    <m/>
    <s v="USIEL AUGUSTO BLANCO GALICIA"/>
    <s v="system"/>
  </r>
  <r>
    <n v="1.25170118644202E+19"/>
    <s v="Union Comercial de Guatemala, S.A. - Banco G&amp;T Continental, S.A."/>
    <x v="0"/>
    <n v="517"/>
    <n v="11"/>
    <x v="0"/>
    <n v="227548"/>
    <d v="2022-07-01T00:00:00"/>
    <x v="0"/>
    <s v="TARJETA"/>
    <s v="GTQ"/>
    <n v="813"/>
    <m/>
    <m/>
    <m/>
    <n v="1"/>
    <n v="813"/>
    <x v="0"/>
    <m/>
    <m/>
    <m/>
    <m/>
    <m/>
    <s v="USIEL AUGUSTO BLANCO GALICIA"/>
    <s v="system"/>
  </r>
  <r>
    <n v="1.2517011864220201E+19"/>
    <s v="Union Comercial de Guatemala, S.A. - Banco de America Central, S.A."/>
    <x v="0"/>
    <n v="517"/>
    <n v="11"/>
    <x v="0"/>
    <n v="293990"/>
    <d v="2022-07-01T00:00:00"/>
    <x v="0"/>
    <s v="TARJETA"/>
    <s v="GTQ"/>
    <n v="497"/>
    <m/>
    <m/>
    <m/>
    <n v="1"/>
    <n v="497"/>
    <x v="0"/>
    <m/>
    <m/>
    <m/>
    <m/>
    <m/>
    <s v="USIEL AUGUSTO BLANCO GALICIA"/>
    <s v="system"/>
  </r>
  <r>
    <n v="1.25170118607202E+19"/>
    <s v="Union Comercial de Guatemala, S.A. - Banco G&amp;T Continental, S.A."/>
    <x v="0"/>
    <n v="517"/>
    <n v="11"/>
    <x v="0"/>
    <n v="762876"/>
    <d v="2022-07-01T00:00:00"/>
    <x v="0"/>
    <s v="TARJETA"/>
    <s v="GTQ"/>
    <n v="1566.85"/>
    <m/>
    <m/>
    <m/>
    <n v="1"/>
    <n v="1566.85"/>
    <x v="0"/>
    <m/>
    <m/>
    <m/>
    <m/>
    <m/>
    <s v="LUIS FERNANDO JIMENEZ LOPEZ"/>
    <s v="system"/>
  </r>
  <r>
    <n v="1.25170118605202E+19"/>
    <s v="Union Comercial de Guatemala, S.A. - Banco G&amp;T Continental, S.A."/>
    <x v="0"/>
    <n v="517"/>
    <n v="11"/>
    <x v="0"/>
    <n v="740283"/>
    <d v="2022-07-01T00:00:00"/>
    <x v="0"/>
    <s v="TARJETA"/>
    <s v="GTQ"/>
    <n v="346"/>
    <m/>
    <m/>
    <m/>
    <n v="1"/>
    <n v="346"/>
    <x v="0"/>
    <m/>
    <m/>
    <m/>
    <m/>
    <m/>
    <s v="USIEL AUGUSTO BLANCO GALICIA"/>
    <s v="system"/>
  </r>
  <r>
    <n v="1.2517011860820199E+19"/>
    <s v="Union Comercial de Guatemala, S.A. - Banco G&amp;T Continental, S.A."/>
    <x v="0"/>
    <n v="517"/>
    <n v="11"/>
    <x v="0"/>
    <n v="762876"/>
    <d v="2022-07-01T00:00:00"/>
    <x v="0"/>
    <s v="TARJETA"/>
    <s v="GTQ"/>
    <n v="2991.12"/>
    <m/>
    <m/>
    <m/>
    <n v="1"/>
    <n v="2991.12"/>
    <x v="0"/>
    <m/>
    <m/>
    <m/>
    <m/>
    <m/>
    <s v="LUIS FERNANDO JIMENEZ LOPEZ"/>
    <s v="system"/>
  </r>
  <r>
    <n v="1.25170118604202E+19"/>
    <s v="Union Comercial de Guatemala, S.A. - Banco G&amp;T Continental, S.A."/>
    <x v="0"/>
    <n v="517"/>
    <n v="11"/>
    <x v="0"/>
    <n v="740283"/>
    <d v="2022-07-01T00:00:00"/>
    <x v="0"/>
    <s v="TARJETA"/>
    <s v="GTQ"/>
    <n v="347"/>
    <m/>
    <m/>
    <m/>
    <n v="1"/>
    <n v="347"/>
    <x v="0"/>
    <m/>
    <m/>
    <m/>
    <m/>
    <m/>
    <s v="USIEL AUGUSTO BLANCO GALICIA"/>
    <s v="system"/>
  </r>
  <r>
    <n v="1.25170118615202E+19"/>
    <s v="Union Comercial de Guatemala, S.A. - Banco G&amp;T Continental, S.A."/>
    <x v="0"/>
    <n v="517"/>
    <n v="11"/>
    <x v="0"/>
    <n v="711929"/>
    <d v="2022-07-01T00:00:00"/>
    <x v="0"/>
    <s v="VISANET 48 PAGOS"/>
    <s v="GTQ"/>
    <n v="9297"/>
    <m/>
    <m/>
    <m/>
    <n v="1"/>
    <n v="9297"/>
    <x v="0"/>
    <m/>
    <m/>
    <m/>
    <m/>
    <m/>
    <s v="USIEL AUGUSTO BLANCO GALICIA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d v="2022-07-01T00:00:00"/>
    <s v="CSH"/>
    <s v="12517000083220220729"/>
    <x v="0"/>
    <n v="12517"/>
    <x v="0"/>
    <n v="11"/>
    <s v="NOC"/>
    <x v="0"/>
    <n v="74242751"/>
    <s v="000-000908-4"/>
    <s v="Banco Industrial, S.A."/>
    <s v="GTQ"/>
    <n v="15497.25"/>
    <m/>
    <m/>
    <m/>
    <n v="15497.25"/>
    <m/>
    <n v="1"/>
    <n v="15497.25"/>
    <m/>
    <m/>
    <m/>
    <s v="USIEL AUGUSTO BLANCO GALICIA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LA CURACAO"/>
    <x v="0"/>
    <x v="0"/>
    <n v="11"/>
    <x v="0"/>
    <n v="8642"/>
    <s v="12517011864220220729"/>
    <m/>
    <m/>
    <s v="48CA87693421783261"/>
    <m/>
    <s v="Factura Consumidor Final"/>
    <x v="0"/>
    <x v="0"/>
    <x v="0"/>
    <n v="1500"/>
    <s v="125172042203VQ"/>
    <s v=""/>
    <s v="BYRON    PAREDES  "/>
    <m/>
    <m/>
    <m/>
  </r>
  <r>
    <s v="LA CURACAO"/>
    <x v="0"/>
    <x v="0"/>
    <n v="11"/>
    <x v="0"/>
    <n v="8624"/>
    <s v="12517011862420220729"/>
    <m/>
    <m/>
    <s v="43E79453926239320"/>
    <m/>
    <s v="Factura Consumidor Final"/>
    <x v="0"/>
    <x v="0"/>
    <x v="0"/>
    <n v="630"/>
    <s v="125172052202H3"/>
    <s v=""/>
    <s v="JOSE ANIBAL MATIAS HERNANDEZ"/>
    <m/>
    <m/>
    <m/>
  </r>
  <r>
    <s v="LA CURACAO"/>
    <x v="0"/>
    <x v="0"/>
    <n v="11"/>
    <x v="0"/>
    <n v="8599"/>
    <s v="12517011859920220729"/>
    <m/>
    <m/>
    <s v="0465BD3D1354780274"/>
    <m/>
    <s v="Factura Consumidor Final"/>
    <x v="0"/>
    <x v="1"/>
    <x v="0"/>
    <n v="354"/>
    <s v="125232072200YH"/>
    <s v=""/>
    <s v="HERBER   OCHOA  "/>
    <m/>
    <m/>
    <m/>
  </r>
  <r>
    <s v="LA CURACAO"/>
    <x v="0"/>
    <x v="0"/>
    <n v="11"/>
    <x v="0"/>
    <n v="8642"/>
    <s v="12517011864220220729"/>
    <m/>
    <m/>
    <s v="48CA87693421783261"/>
    <m/>
    <s v="Factura Consumidor Final"/>
    <x v="0"/>
    <x v="2"/>
    <x v="0"/>
    <n v="497"/>
    <s v="125172042203VQ"/>
    <s v=""/>
    <s v="BYRON    PAREDES  "/>
    <s v="BANCO AGROMERCANTIL, S.A."/>
    <m/>
    <s v="Card"/>
  </r>
  <r>
    <s v="LA CURACAO"/>
    <x v="0"/>
    <x v="0"/>
    <n v="11"/>
    <x v="0"/>
    <n v="8603"/>
    <s v="12517011860320220729"/>
    <m/>
    <m/>
    <s v="BAEE7C081011303287"/>
    <m/>
    <s v="Factura Consumidor Final"/>
    <x v="0"/>
    <x v="2"/>
    <x v="0"/>
    <n v="2773"/>
    <s v="1251724322001J"/>
    <s v=""/>
    <s v="CARLOS HUMBERTO CHACON BAEZA"/>
    <s v="BANCO AGROMERCANTIL, S.A."/>
    <m/>
    <s v="Visanet10Pagos"/>
  </r>
  <r>
    <s v="LA CURACAO"/>
    <x v="0"/>
    <x v="0"/>
    <n v="11"/>
    <x v="0"/>
    <n v="8600"/>
    <s v="12517011860020220729"/>
    <m/>
    <m/>
    <s v="235022F91437943227"/>
    <m/>
    <s v="Factura Consumidor Final"/>
    <x v="0"/>
    <x v="1"/>
    <x v="0"/>
    <n v="20"/>
    <s v="125232072200YJ"/>
    <s v=""/>
    <s v="HERBER   OCHOA  "/>
    <m/>
    <m/>
    <m/>
  </r>
  <r>
    <s v="LA CURACAO"/>
    <x v="0"/>
    <x v="0"/>
    <n v="11"/>
    <x v="0"/>
    <n v="8597"/>
    <s v="12517011859720220729"/>
    <m/>
    <m/>
    <s v="8D654AA61589463036"/>
    <m/>
    <s v="Factura Consumidor Final"/>
    <x v="0"/>
    <x v="1"/>
    <x v="0"/>
    <n v="427"/>
    <s v="125232072200YF"/>
    <s v=""/>
    <s v="ENRIQUE   GIL  "/>
    <m/>
    <m/>
    <m/>
  </r>
  <r>
    <s v="LA CURACAO"/>
    <x v="0"/>
    <x v="0"/>
    <n v="11"/>
    <x v="0"/>
    <n v="8631"/>
    <s v="12517011863120220729"/>
    <m/>
    <m/>
    <s v="8F7EFBD02674409572"/>
    <m/>
    <s v="Factura Consumidor Final"/>
    <x v="0"/>
    <x v="0"/>
    <x v="0"/>
    <n v="840"/>
    <s v="125172052202H5"/>
    <s v=""/>
    <s v="OLIVER JOSE MONTERROSO MONROY"/>
    <m/>
    <m/>
    <m/>
  </r>
  <r>
    <s v="LA CURACAO"/>
    <x v="0"/>
    <x v="0"/>
    <n v="11"/>
    <x v="0"/>
    <n v="8634"/>
    <s v="12517011863420220729"/>
    <m/>
    <m/>
    <s v="8BA789463919266924"/>
    <m/>
    <s v="Factura Consumidor Final"/>
    <x v="0"/>
    <x v="0"/>
    <x v="0"/>
    <n v="8997"/>
    <s v="1251724422001L"/>
    <s v=""/>
    <s v="PABLO RENE ORTIZ FLORES"/>
    <m/>
    <m/>
    <m/>
  </r>
  <r>
    <s v="LA CURACAO"/>
    <x v="0"/>
    <x v="0"/>
    <n v="11"/>
    <x v="0"/>
    <n v="8615"/>
    <s v="12517011861520220729"/>
    <m/>
    <m/>
    <s v="FD6E81E6809844786"/>
    <m/>
    <s v="Factura Consumidor Final"/>
    <x v="0"/>
    <x v="2"/>
    <x v="0"/>
    <n v="9297"/>
    <s v="1251724422001D"/>
    <s v=""/>
    <s v="LIDIA   GARCIA  DE VERAS"/>
    <s v="BANCO PROMERICA, S.A.|1-233105"/>
    <m/>
    <s v="Visanet48Pago"/>
  </r>
  <r>
    <s v="LA CURACAO"/>
    <x v="0"/>
    <x v="0"/>
    <n v="11"/>
    <x v="0"/>
    <n v="8613"/>
    <s v="12517011861320220729"/>
    <m/>
    <m/>
    <s v="5F7026D9417350855"/>
    <m/>
    <s v="Factura Consumidor Final"/>
    <x v="0"/>
    <x v="0"/>
    <x v="0"/>
    <n v="630"/>
    <s v="125172052202H2"/>
    <s v=""/>
    <s v="EVELIN XIOMARA MORALES ROLDAN"/>
    <m/>
    <m/>
    <m/>
  </r>
  <r>
    <s v="LA CURACAO"/>
    <x v="0"/>
    <x v="0"/>
    <n v="11"/>
    <x v="0"/>
    <n v="8626"/>
    <s v="12517011862620220729"/>
    <m/>
    <m/>
    <s v="D0D54A87969492876"/>
    <m/>
    <s v="Factura Consumidor Final"/>
    <x v="0"/>
    <x v="0"/>
    <x v="0"/>
    <n v="3947"/>
    <s v="1251724422001J"/>
    <s v=""/>
    <s v="GERSON DAMIAN  MORALES CUTZAN "/>
    <m/>
    <m/>
    <m/>
  </r>
  <r>
    <s v="LA CURACAO"/>
    <x v="0"/>
    <x v="0"/>
    <n v="11"/>
    <x v="0"/>
    <n v="8598"/>
    <s v="12517011859820220729"/>
    <m/>
    <m/>
    <s v="5B9749EA2125153090"/>
    <m/>
    <s v="Factura Consumidor Final"/>
    <x v="0"/>
    <x v="1"/>
    <x v="0"/>
    <n v="20"/>
    <s v="125232072200YG"/>
    <s v=""/>
    <s v="ENRIQUE   GIL  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903B94-4041-41F7-86E6-69D342DD9C64}" name="Tbl Dinamica Tarjetas" cacheId="13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5B4D-2B6B-4A46-BC36-5129CBD17235}" name="Tbl Dinamica Depositos" cacheId="13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7">
    <pivotField axis="axisCol" showAll="0">
      <items count="2"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2">
    <i>
      <x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12DCC9-3EFC-41E5-BB20-4EDAAE903AF1}" name="Tbl Dinamica Transaccional" cacheId="13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I10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6">
    <i>
      <x/>
      <x/>
      <x/>
      <x/>
      <x/>
    </i>
    <i t="default" r="3">
      <x/>
    </i>
    <i t="default" r="2">
      <x/>
    </i>
    <i t="default" r="1">
      <x/>
    </i>
    <i t="default">
      <x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5E0B3F-3F60-4BD9-9A72-BC9D1D1D519D}" name="Tabla4" displayName="Tabla4" ref="A1:R7" totalsRowShown="0">
  <autoFilter ref="A1:R7" xr:uid="{C45E0B3F-3F60-4BD9-9A72-BC9D1D1D519D}"/>
  <tableColumns count="18">
    <tableColumn id="1" xr3:uid="{4AC4CAEB-E523-48E1-B2C5-537EEFC4726A}" name="TIENDA"/>
    <tableColumn id="2" xr3:uid="{BB1D218D-BA88-4715-9702-3DFB2F37350D}" name="CDA"/>
    <tableColumn id="3" xr3:uid="{6CB7CC1B-3DB3-48F6-9A73-1ACDC24E4896}" name="FECHA TRANSACCION"/>
    <tableColumn id="4" xr3:uid="{ECBE092E-4B68-42EF-ACA9-102037EB40DB}" name="TRANSACCIONES CAJA"/>
    <tableColumn id="5" xr3:uid="{80D5F850-8C8B-4EF1-94B6-2E4A4272D188}" name="CODIGO DE RAZON"/>
    <tableColumn id="6" xr3:uid="{2F9C4656-B8E3-4F6C-8070-356744303E39}" name="Efectivo"/>
    <tableColumn id="7" xr3:uid="{6CE54D58-110D-4F35-B293-633D48A0B082}" name="Pay pal"/>
    <tableColumn id="8" xr3:uid="{90166271-EF1B-4897-933A-EE15E70FEB74}" name="Tarjeta de Credito"/>
    <tableColumn id="9" xr3:uid="{DD3124CC-EC38-49F4-8046-26A1E0FF5F51}" name="Total general"/>
    <tableColumn id="10" xr3:uid="{A98A40D7-957A-4383-AA3C-A674F5099AD5}" name="CIA"/>
    <tableColumn id="11" xr3:uid="{C661246D-A68C-4B0E-983C-ED6EC41258B9}" name="INHOUSE DEP-TC"/>
    <tableColumn id="12" xr3:uid="{BE0D4530-F4E0-456E-9C6F-46939D337988}" name="INGRESOS CORTE DE CAJA"/>
    <tableColumn id="13" xr3:uid="{9F5EC7AE-44FC-47B4-9AE0-9E2C6CD7BA75}" name="CIERRE P.O.S."/>
    <tableColumn id="14" xr3:uid="{F3647018-510F-4CCD-99E0-CB84D4F67E73}" name="VENTAS TC INTERNET"/>
    <tableColumn id="15" xr3:uid="{65FC44C5-A6DE-48AA-B499-602F108902BC}" name="VISALINK"/>
    <tableColumn id="16" xr3:uid="{30BF9CC3-C10C-4084-BBF7-6A48436A6B30}" name="TRASLADOS"/>
    <tableColumn id="17" xr3:uid="{96C2A599-47FF-4109-8210-4D050597BE35}" name="DIFERENCIA"/>
    <tableColumn id="18" xr3:uid="{AA91A2E4-C6AE-4B55-86FF-10DA8A33CCE1}" name="OBSERVACIÓN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FEC74C-54F2-4F04-B55E-03B56A72C17C}" name="Tabla1" displayName="Tabla1" ref="A1:Y9" totalsRowShown="0" headerRowDxfId="11" headerRowBorderDxfId="10" tableBorderDxfId="9">
  <autoFilter ref="A1:Y9" xr:uid="{0CFEC74C-54F2-4F04-B55E-03B56A72C17C}"/>
  <tableColumns count="25">
    <tableColumn id="1" xr3:uid="{DDA31D93-38F2-4093-9CCE-5E0B5B289D0B}" name="NÚMERO TRANSACCION"/>
    <tableColumn id="2" xr3:uid="{550B74DD-6CD4-4CDC-8F54-9A6D04B2239B}" name="DESC CUENTA"/>
    <tableColumn id="3" xr3:uid="{D4923D6D-A230-4B70-9D0A-ACA84C58AC97}" name="CENTRO ANALISIS"/>
    <tableColumn id="4" xr3:uid="{F2F314D1-A338-4906-97D0-E697AACBB8B0}" name="RI"/>
    <tableColumn id="5" xr3:uid="{DC41DAF2-2B28-4578-8F8C-AEC244B28AAD}" name="NO CAJA"/>
    <tableColumn id="6" xr3:uid="{5ED18904-5D88-4661-9B9B-D5AC398BE47A}" name="DESC ALMACEN"/>
    <tableColumn id="7" xr3:uid="{FD6D03E3-1DC7-4822-9514-6A55C1605E13}" name="REFERENCIA"/>
    <tableColumn id="8" xr3:uid="{7E8DD182-3CFF-43D1-A7B4-EE7BFD059549}" name="PERIODO CONTABLE" dataDxfId="8"/>
    <tableColumn id="9" xr3:uid="{3E63E78C-86DD-4AC2-972C-CE131D4C692F}" name="FECHA AUTORIZACIÓN"/>
    <tableColumn id="10" xr3:uid="{3C455A1F-F631-4D12-93BE-50C6B5C90505}" name="TIPO PROMOCIÓN"/>
    <tableColumn id="11" xr3:uid="{72F5A00A-28C9-401F-AC9F-ED9B2D7DCD92}" name="MONEDA"/>
    <tableColumn id="12" xr3:uid="{08E911C5-C093-470F-833C-8FDB4552A07E}" name="MONTO"/>
    <tableColumn id="13" xr3:uid="{BC5CE842-2896-4947-A504-F5E733C7FD89}" name="NUMERO CONFIRMADO"/>
    <tableColumn id="14" xr3:uid="{D2A317FE-ABE1-45AB-93F6-9454C43EAB25}" name="Monto Confirmado"/>
    <tableColumn id="15" xr3:uid="{5ECDF832-9F61-44EC-9BB8-07652DA4E781}" name="Diferencia"/>
    <tableColumn id="16" xr3:uid="{C413C68C-9CB7-4034-BC20-6802CEBC46EE}" name="TASA DE CAMBIO"/>
    <tableColumn id="17" xr3:uid="{56FBA8A0-4322-4EED-B81F-C3A3F6C5ECEB}" name="MONTO MNL"/>
    <tableColumn id="18" xr3:uid="{100BABB4-644E-45E7-8CD1-AF292FD2D3D3}" name="ESTADO"/>
    <tableColumn id="19" xr3:uid="{A7947AD6-E1D6-4D45-A065-3737944AA6D3}" name="FECHA BANCO"/>
    <tableColumn id="20" xr3:uid="{BA77F9F4-E491-4888-BA8C-15F4069A1529}" name="NÚMERO DE DEPOSITO"/>
    <tableColumn id="21" xr3:uid="{4B3CFD36-043E-4511-9DF0-88588909A86D}" name="NÚMERO CCF"/>
    <tableColumn id="22" xr3:uid="{5B9F3D80-C896-4955-8AB6-25327012679D}" name="FECHA CONFIRMACION"/>
    <tableColumn id="23" xr3:uid="{176B24FD-89B4-43B1-8B20-70D8BE2F9107}" name="FECHA CONTABLE"/>
    <tableColumn id="24" xr3:uid="{E66DEFEA-6DD8-4588-B064-95B58F2CA317}" name="EMPLEADO"/>
    <tableColumn id="25" xr3:uid="{66F2F7BA-0B22-4BC3-B96B-B3CFA4B8C56B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430BE9-D80E-419E-8741-7C939C02826A}" name="Tabla2" displayName="Tabla2" ref="A1:AA2" totalsRowShown="0" headerRowDxfId="7" headerRowBorderDxfId="6" tableBorderDxfId="5">
  <autoFilter ref="A1:AA2" xr:uid="{D3430BE9-D80E-419E-8741-7C939C02826A}"/>
  <tableColumns count="27">
    <tableColumn id="1" xr3:uid="{EC71C61E-B3A5-47A6-914A-8D78D28004B6}" name="Compañia"/>
    <tableColumn id="2" xr3:uid="{3076B3E1-41FD-47AB-8250-6E3E6331777F}" name="Período" dataDxfId="4"/>
    <tableColumn id="3" xr3:uid="{74B9C463-064A-47FE-8943-F5507CC32CF9}" name="Tipo"/>
    <tableColumn id="4" xr3:uid="{945DEDD5-E9F0-46E5-A022-E8F49870669A}" name="Número Transacción"/>
    <tableColumn id="5" xr3:uid="{0184BC57-FDAD-4BC3-B5D1-68C5FADFED60}" name="Centro Analisis"/>
    <tableColumn id="6" xr3:uid="{FC9C8EF8-05C3-403B-94D4-352E10ADE0E3}" name="Tienda"/>
    <tableColumn id="7" xr3:uid="{E1ABCE9A-9BB4-45D5-ABA2-4C2BA02CB685}" name="Desc Almacen"/>
    <tableColumn id="8" xr3:uid="{58112728-7E01-4A6F-A2A2-38A25A51EFFB}" name="Caja"/>
    <tableColumn id="9" xr3:uid="{505C69A7-C72F-46E4-ACE7-FD95F06B1AC4}" name="Estado"/>
    <tableColumn id="10" xr3:uid="{46791ED2-B1B0-4362-8F60-7018532FDCA5}" name="Fecha deposito"/>
    <tableColumn id="11" xr3:uid="{3EAD9376-A6CB-40B1-9D58-96498D216B3E}" name="Numero Deposito"/>
    <tableColumn id="12" xr3:uid="{76F3FFE4-1653-4FC6-9D2F-1ABAB735AA60}" name="Numero Cuenta"/>
    <tableColumn id="13" xr3:uid="{66898879-7A35-4A8A-B5E0-655A30BD650E}" name="Desc Cuenta"/>
    <tableColumn id="14" xr3:uid="{E3E6E130-949A-497A-A449-525CE4F72CDE}" name="Moneda"/>
    <tableColumn id="15" xr3:uid="{430BCA8A-390B-4356-A458-1369484CA774}" name="Monto"/>
    <tableColumn id="16" xr3:uid="{0FB899E3-3A6A-487A-B432-CC1E14CDD13E}" name="Fecha Banco"/>
    <tableColumn id="17" xr3:uid="{51160930-D9B4-413C-9D2C-DDB8DB2B83FB}" name="Número Déposito Confirmado"/>
    <tableColumn id="18" xr3:uid="{6150FA3F-7862-430F-8000-B50397D59E68}" name="Número Cuenta Confirmada"/>
    <tableColumn id="19" xr3:uid="{C1A84D10-C83C-4983-9FA4-D47E5BC4797E}" name="Monto Confirmado"/>
    <tableColumn id="20" xr3:uid="{AD52C762-67CA-41BD-AF57-4A9A673AF75B}" name="Diferencia"/>
    <tableColumn id="21" xr3:uid="{845F23AC-FAD8-4B53-8479-A29245E24FB9}" name="Tasa de Cambio"/>
    <tableColumn id="22" xr3:uid="{A20A1E92-55A2-4412-BC32-A7222358BC13}" name="Monto MNL"/>
    <tableColumn id="23" xr3:uid="{84468E81-29EF-4243-9BF6-2F6865B5DF31}" name="Motivo"/>
    <tableColumn id="24" xr3:uid="{82286AE6-8B45-4EE1-91BF-AE9C4CC6E648}" name="Fecha confirmacion"/>
    <tableColumn id="25" xr3:uid="{FAF51A3B-5F5B-48C2-A08F-CDEF15F1E8F7}" name="Fecha Contabilización"/>
    <tableColumn id="26" xr3:uid="{366388A6-1E6F-4ACB-B001-076151527DBD}" name="Empleado"/>
    <tableColumn id="27" xr3:uid="{E873ED02-B080-4484-8162-1360382CF3F6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5907A4-CBA9-4107-9800-A9381E0512FD}" name="Tabla3" displayName="Tabla3" ref="A1:V14" totalsRowShown="0" headerRowDxfId="3" headerRowBorderDxfId="2" tableBorderDxfId="1">
  <autoFilter ref="A1:V14" xr:uid="{4B5907A4-CBA9-4107-9800-A9381E0512FD}"/>
  <tableColumns count="22">
    <tableColumn id="1" xr3:uid="{2E126439-1538-4E52-A8C0-F12BF97DE029}" name="CADENA"/>
    <tableColumn id="2" xr3:uid="{4189DD5F-3785-4975-B439-B13CB3D20D28}" name="TIENDA"/>
    <tableColumn id="3" xr3:uid="{C50AA016-B580-496D-8B8C-B14E9F33CEAB}" name="CDA"/>
    <tableColumn id="4" xr3:uid="{B04C56A9-CA88-4C03-ACF3-33C409091AD9}" name="CAJA"/>
    <tableColumn id="5" xr3:uid="{82A4B95B-78F4-45E2-988D-0F68AE99A092}" name="FECHA TRANSACCION" dataDxfId="0"/>
    <tableColumn id="6" xr3:uid="{1AD270FE-5A44-4060-AAFC-841E9E93EABE}" name="CORRELATIVO CAJA"/>
    <tableColumn id="7" xr3:uid="{ABB91CC3-8857-4815-83EA-3EA65DB9E94A}" name="No. TRANSACCION"/>
    <tableColumn id="8" xr3:uid="{6388700C-AA04-4206-957C-8F4927E46D0A}" name="TRANSACCION ORIGINAL (Devolución)"/>
    <tableColumn id="9" xr3:uid="{54AA54CE-4885-4B2C-AF53-B5045835E171}" name="TRANSACCIÓN CAJA ORIGINAL(Devolución)"/>
    <tableColumn id="10" xr3:uid="{E93205F0-A7F1-4E88-A16F-0872F4509067}" name="No. DOCUMENTO"/>
    <tableColumn id="11" xr3:uid="{71BDD075-3E48-40BC-8E9D-6C8070707651}" name="NUMERO DE SOLICITUD"/>
    <tableColumn id="12" xr3:uid="{773FFDAB-444E-4F35-AD89-4B92D603EFF9}" name="TIPO DOCUMENTO"/>
    <tableColumn id="13" xr3:uid="{AFB3B399-01CE-458E-A433-9C2517234C0A}" name="TRANSACCIONES CAJA"/>
    <tableColumn id="14" xr3:uid="{1E80A48F-3A6A-4FBF-AB3E-535F8F907FEF}" name="FORMA DE PAGO"/>
    <tableColumn id="15" xr3:uid="{90A37EC4-EB12-4C16-B1F3-C0121844A70D}" name="CODIGO DE RAZON"/>
    <tableColumn id="16" xr3:uid="{05839916-08F9-44FA-9DFD-1F351990538C}" name="MONTO"/>
    <tableColumn id="17" xr3:uid="{476089C2-7A59-455D-8731-434A05BB95FA}" name="NUM_COTIZACON"/>
    <tableColumn id="18" xr3:uid="{616C0988-7B28-4E52-9176-EC20F37312CA}" name="NUM_CUENTA"/>
    <tableColumn id="19" xr3:uid="{DBF3A052-1E4F-48EC-8AF6-C2B089659F38}" name="NOMBRE_CLIENTE"/>
    <tableColumn id="20" xr3:uid="{110FDE16-74AE-4C1E-97B6-644F0CE02FE1}" name="BANCO"/>
    <tableColumn id="21" xr3:uid="{720E5E23-6A55-4EFD-A1A1-948E2C104A87}" name="AUTORIZACION"/>
    <tableColumn id="22" xr3:uid="{1AC13DBD-C4D5-4937-8745-D2288ACA095D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7"/>
  <sheetViews>
    <sheetView tabSelected="1" workbookViewId="0">
      <selection sqref="A1:R7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8" max="8" width="19" customWidth="1"/>
    <col min="9" max="9" width="14.7109375" customWidth="1"/>
    <col min="11" max="11" width="18" customWidth="1"/>
    <col min="12" max="12" width="25.85546875" customWidth="1"/>
    <col min="13" max="13" width="14.85546875" customWidth="1"/>
    <col min="14" max="14" width="21.7109375" customWidth="1"/>
    <col min="16" max="16" width="13.42578125" customWidth="1"/>
    <col min="17" max="17" width="13.5703125" customWidth="1"/>
    <col min="18" max="18" width="16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99</v>
      </c>
      <c r="G1" t="s">
        <v>109</v>
      </c>
      <c r="H1" t="s">
        <v>112</v>
      </c>
      <c r="I1" t="s">
        <v>84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</row>
    <row r="2" spans="1:18" x14ac:dyDescent="0.25">
      <c r="A2" t="s">
        <v>94</v>
      </c>
      <c r="B2">
        <v>50208</v>
      </c>
      <c r="C2" s="9">
        <v>44771</v>
      </c>
      <c r="D2" t="s">
        <v>98</v>
      </c>
      <c r="E2" t="s">
        <v>152</v>
      </c>
      <c r="F2">
        <v>16544</v>
      </c>
      <c r="G2">
        <v>821</v>
      </c>
      <c r="H2">
        <v>12567</v>
      </c>
      <c r="I2">
        <v>29932</v>
      </c>
      <c r="J2" t="s">
        <v>87</v>
      </c>
    </row>
    <row r="3" spans="1:18" x14ac:dyDescent="0.25">
      <c r="A3" t="s">
        <v>94</v>
      </c>
      <c r="B3">
        <v>50208</v>
      </c>
      <c r="C3" s="9">
        <v>44771</v>
      </c>
      <c r="D3" t="s">
        <v>153</v>
      </c>
      <c r="F3">
        <v>16544</v>
      </c>
      <c r="G3">
        <v>821</v>
      </c>
      <c r="H3">
        <v>12567</v>
      </c>
      <c r="I3">
        <v>29932</v>
      </c>
      <c r="J3" t="s">
        <v>166</v>
      </c>
    </row>
    <row r="4" spans="1:18" x14ac:dyDescent="0.25">
      <c r="A4" t="s">
        <v>94</v>
      </c>
      <c r="B4">
        <v>50208</v>
      </c>
      <c r="C4" t="s">
        <v>154</v>
      </c>
      <c r="F4">
        <v>16544</v>
      </c>
      <c r="G4">
        <v>821</v>
      </c>
      <c r="H4">
        <v>12567</v>
      </c>
      <c r="I4">
        <v>29932</v>
      </c>
      <c r="J4" t="s">
        <v>168</v>
      </c>
    </row>
    <row r="5" spans="1:18" x14ac:dyDescent="0.25">
      <c r="A5" t="s">
        <v>94</v>
      </c>
      <c r="B5" t="s">
        <v>155</v>
      </c>
      <c r="F5">
        <v>16544</v>
      </c>
      <c r="G5">
        <v>821</v>
      </c>
      <c r="H5">
        <v>12567</v>
      </c>
      <c r="I5">
        <v>29932</v>
      </c>
      <c r="J5" t="s">
        <v>87</v>
      </c>
    </row>
    <row r="6" spans="1:18" x14ac:dyDescent="0.25">
      <c r="A6" t="s">
        <v>156</v>
      </c>
      <c r="F6">
        <v>16544</v>
      </c>
      <c r="G6">
        <v>821</v>
      </c>
      <c r="H6">
        <v>12567</v>
      </c>
      <c r="I6">
        <v>29932</v>
      </c>
      <c r="J6" t="s">
        <v>166</v>
      </c>
    </row>
    <row r="7" spans="1:18" x14ac:dyDescent="0.25">
      <c r="A7" t="s">
        <v>84</v>
      </c>
      <c r="F7">
        <v>16544</v>
      </c>
      <c r="G7">
        <v>821</v>
      </c>
      <c r="H7">
        <v>12567</v>
      </c>
      <c r="I7">
        <v>29932</v>
      </c>
      <c r="J7" t="s">
        <v>167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76D5A-58A4-48FE-8601-1F004A0606A5}">
  <dimension ref="A3:C8"/>
  <sheetViews>
    <sheetView workbookViewId="0"/>
  </sheetViews>
  <sheetFormatPr baseColWidth="10" defaultRowHeight="15" x14ac:dyDescent="0.25"/>
  <cols>
    <col min="1" max="1" width="37.28515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86</v>
      </c>
      <c r="B3" s="3" t="s">
        <v>83</v>
      </c>
    </row>
    <row r="4" spans="1:3" x14ac:dyDescent="0.25">
      <c r="A4" s="3" t="s">
        <v>85</v>
      </c>
      <c r="B4" t="s">
        <v>76</v>
      </c>
      <c r="C4" t="s">
        <v>84</v>
      </c>
    </row>
    <row r="5" spans="1:3" x14ac:dyDescent="0.25">
      <c r="A5" s="4">
        <v>50208</v>
      </c>
      <c r="B5" s="7">
        <v>18630.97</v>
      </c>
      <c r="C5" s="7">
        <v>18630.97</v>
      </c>
    </row>
    <row r="6" spans="1:3" x14ac:dyDescent="0.25">
      <c r="A6" s="5" t="s">
        <v>72</v>
      </c>
      <c r="B6" s="7">
        <v>18630.97</v>
      </c>
      <c r="C6" s="7">
        <v>18630.97</v>
      </c>
    </row>
    <row r="7" spans="1:3" x14ac:dyDescent="0.25">
      <c r="A7" s="6" t="s">
        <v>73</v>
      </c>
      <c r="B7" s="7">
        <v>18630.97</v>
      </c>
      <c r="C7" s="7">
        <v>18630.97</v>
      </c>
    </row>
    <row r="8" spans="1:3" x14ac:dyDescent="0.25">
      <c r="A8" s="4" t="s">
        <v>84</v>
      </c>
      <c r="B8" s="7">
        <v>18630.97</v>
      </c>
      <c r="C8" s="7">
        <v>18630.97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9"/>
  <sheetViews>
    <sheetView workbookViewId="0">
      <selection sqref="A1:Y9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1.2517011860320201E+19</v>
      </c>
      <c r="B2" t="s">
        <v>71</v>
      </c>
      <c r="C2">
        <v>50208</v>
      </c>
      <c r="D2">
        <v>517</v>
      </c>
      <c r="E2">
        <v>11</v>
      </c>
      <c r="F2" t="s">
        <v>72</v>
      </c>
      <c r="G2">
        <v>55534</v>
      </c>
      <c r="H2" s="1">
        <v>44743</v>
      </c>
      <c r="I2" t="s">
        <v>73</v>
      </c>
      <c r="J2" t="s">
        <v>74</v>
      </c>
      <c r="K2" t="s">
        <v>75</v>
      </c>
      <c r="L2">
        <v>2773</v>
      </c>
      <c r="P2">
        <v>1</v>
      </c>
      <c r="Q2">
        <v>2773</v>
      </c>
      <c r="R2" t="s">
        <v>76</v>
      </c>
      <c r="X2" t="s">
        <v>77</v>
      </c>
      <c r="Y2" t="s">
        <v>78</v>
      </c>
    </row>
    <row r="3" spans="1:25" x14ac:dyDescent="0.25">
      <c r="A3">
        <v>1.25170118644202E+19</v>
      </c>
      <c r="B3" t="s">
        <v>71</v>
      </c>
      <c r="C3">
        <v>50208</v>
      </c>
      <c r="D3">
        <v>517</v>
      </c>
      <c r="E3">
        <v>11</v>
      </c>
      <c r="F3" t="s">
        <v>72</v>
      </c>
      <c r="G3">
        <v>227548</v>
      </c>
      <c r="H3" s="1">
        <v>44743</v>
      </c>
      <c r="I3" t="s">
        <v>73</v>
      </c>
      <c r="J3" t="s">
        <v>79</v>
      </c>
      <c r="K3" t="s">
        <v>75</v>
      </c>
      <c r="L3">
        <v>813</v>
      </c>
      <c r="P3">
        <v>1</v>
      </c>
      <c r="Q3">
        <v>813</v>
      </c>
      <c r="R3" t="s">
        <v>76</v>
      </c>
      <c r="X3" t="s">
        <v>77</v>
      </c>
      <c r="Y3" t="s">
        <v>78</v>
      </c>
    </row>
    <row r="4" spans="1:25" x14ac:dyDescent="0.25">
      <c r="A4">
        <v>1.2517011864220201E+19</v>
      </c>
      <c r="B4" t="s">
        <v>80</v>
      </c>
      <c r="C4">
        <v>50208</v>
      </c>
      <c r="D4">
        <v>517</v>
      </c>
      <c r="E4">
        <v>11</v>
      </c>
      <c r="F4" t="s">
        <v>72</v>
      </c>
      <c r="G4">
        <v>293990</v>
      </c>
      <c r="H4" s="1">
        <v>44743</v>
      </c>
      <c r="I4" t="s">
        <v>73</v>
      </c>
      <c r="J4" t="s">
        <v>79</v>
      </c>
      <c r="K4" t="s">
        <v>75</v>
      </c>
      <c r="L4">
        <v>497</v>
      </c>
      <c r="P4">
        <v>1</v>
      </c>
      <c r="Q4">
        <v>497</v>
      </c>
      <c r="R4" t="s">
        <v>76</v>
      </c>
      <c r="X4" t="s">
        <v>77</v>
      </c>
      <c r="Y4" t="s">
        <v>78</v>
      </c>
    </row>
    <row r="5" spans="1:25" x14ac:dyDescent="0.25">
      <c r="A5">
        <v>1.25170118607202E+19</v>
      </c>
      <c r="B5" t="s">
        <v>71</v>
      </c>
      <c r="C5">
        <v>50208</v>
      </c>
      <c r="D5">
        <v>517</v>
      </c>
      <c r="E5">
        <v>11</v>
      </c>
      <c r="F5" t="s">
        <v>72</v>
      </c>
      <c r="G5">
        <v>762876</v>
      </c>
      <c r="H5" s="1">
        <v>44743</v>
      </c>
      <c r="I5" t="s">
        <v>73</v>
      </c>
      <c r="J5" t="s">
        <v>79</v>
      </c>
      <c r="K5" t="s">
        <v>75</v>
      </c>
      <c r="L5">
        <v>1566.85</v>
      </c>
      <c r="P5">
        <v>1</v>
      </c>
      <c r="Q5">
        <v>1566.85</v>
      </c>
      <c r="R5" t="s">
        <v>76</v>
      </c>
      <c r="X5" t="s">
        <v>81</v>
      </c>
      <c r="Y5" t="s">
        <v>78</v>
      </c>
    </row>
    <row r="6" spans="1:25" x14ac:dyDescent="0.25">
      <c r="A6">
        <v>1.25170118605202E+19</v>
      </c>
      <c r="B6" t="s">
        <v>71</v>
      </c>
      <c r="C6">
        <v>50208</v>
      </c>
      <c r="D6">
        <v>517</v>
      </c>
      <c r="E6">
        <v>11</v>
      </c>
      <c r="F6" t="s">
        <v>72</v>
      </c>
      <c r="G6">
        <v>740283</v>
      </c>
      <c r="H6" s="1">
        <v>44743</v>
      </c>
      <c r="I6" t="s">
        <v>73</v>
      </c>
      <c r="J6" t="s">
        <v>79</v>
      </c>
      <c r="K6" t="s">
        <v>75</v>
      </c>
      <c r="L6">
        <v>346</v>
      </c>
      <c r="P6">
        <v>1</v>
      </c>
      <c r="Q6">
        <v>346</v>
      </c>
      <c r="R6" t="s">
        <v>76</v>
      </c>
      <c r="X6" t="s">
        <v>77</v>
      </c>
      <c r="Y6" t="s">
        <v>78</v>
      </c>
    </row>
    <row r="7" spans="1:25" x14ac:dyDescent="0.25">
      <c r="A7">
        <v>1.2517011860820199E+19</v>
      </c>
      <c r="B7" t="s">
        <v>71</v>
      </c>
      <c r="C7">
        <v>50208</v>
      </c>
      <c r="D7">
        <v>517</v>
      </c>
      <c r="E7">
        <v>11</v>
      </c>
      <c r="F7" t="s">
        <v>72</v>
      </c>
      <c r="G7">
        <v>762876</v>
      </c>
      <c r="H7" s="1">
        <v>44743</v>
      </c>
      <c r="I7" t="s">
        <v>73</v>
      </c>
      <c r="J7" t="s">
        <v>79</v>
      </c>
      <c r="K7" t="s">
        <v>75</v>
      </c>
      <c r="L7">
        <v>2991.12</v>
      </c>
      <c r="P7">
        <v>1</v>
      </c>
      <c r="Q7">
        <v>2991.12</v>
      </c>
      <c r="R7" t="s">
        <v>76</v>
      </c>
      <c r="X7" t="s">
        <v>81</v>
      </c>
      <c r="Y7" t="s">
        <v>78</v>
      </c>
    </row>
    <row r="8" spans="1:25" x14ac:dyDescent="0.25">
      <c r="A8">
        <v>1.25170118604202E+19</v>
      </c>
      <c r="B8" t="s">
        <v>71</v>
      </c>
      <c r="C8">
        <v>50208</v>
      </c>
      <c r="D8">
        <v>517</v>
      </c>
      <c r="E8">
        <v>11</v>
      </c>
      <c r="F8" t="s">
        <v>72</v>
      </c>
      <c r="G8">
        <v>740283</v>
      </c>
      <c r="H8" s="1">
        <v>44743</v>
      </c>
      <c r="I8" t="s">
        <v>73</v>
      </c>
      <c r="J8" t="s">
        <v>79</v>
      </c>
      <c r="K8" t="s">
        <v>75</v>
      </c>
      <c r="L8">
        <v>347</v>
      </c>
      <c r="P8">
        <v>1</v>
      </c>
      <c r="Q8">
        <v>347</v>
      </c>
      <c r="R8" t="s">
        <v>76</v>
      </c>
      <c r="X8" t="s">
        <v>77</v>
      </c>
      <c r="Y8" t="s">
        <v>78</v>
      </c>
    </row>
    <row r="9" spans="1:25" x14ac:dyDescent="0.25">
      <c r="A9">
        <v>1.25170118615202E+19</v>
      </c>
      <c r="B9" t="s">
        <v>71</v>
      </c>
      <c r="C9">
        <v>50208</v>
      </c>
      <c r="D9">
        <v>517</v>
      </c>
      <c r="E9">
        <v>11</v>
      </c>
      <c r="F9" t="s">
        <v>72</v>
      </c>
      <c r="G9">
        <v>711929</v>
      </c>
      <c r="H9" s="1">
        <v>44743</v>
      </c>
      <c r="I9" t="s">
        <v>73</v>
      </c>
      <c r="J9" t="s">
        <v>82</v>
      </c>
      <c r="K9" t="s">
        <v>75</v>
      </c>
      <c r="L9">
        <v>9297</v>
      </c>
      <c r="P9">
        <v>1</v>
      </c>
      <c r="Q9">
        <v>9297</v>
      </c>
      <c r="R9" t="s">
        <v>76</v>
      </c>
      <c r="X9" t="s">
        <v>77</v>
      </c>
      <c r="Y9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EE68A-0420-481A-A0C1-8619FEBEB881}">
  <dimension ref="A3:C8"/>
  <sheetViews>
    <sheetView workbookViewId="0"/>
  </sheetViews>
  <sheetFormatPr baseColWidth="10" defaultRowHeight="15" x14ac:dyDescent="0.25"/>
  <cols>
    <col min="1" max="1" width="37.28515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92</v>
      </c>
      <c r="B3" s="3" t="s">
        <v>83</v>
      </c>
    </row>
    <row r="4" spans="1:3" x14ac:dyDescent="0.25">
      <c r="A4" s="3" t="s">
        <v>85</v>
      </c>
      <c r="B4" t="s">
        <v>87</v>
      </c>
      <c r="C4" t="s">
        <v>84</v>
      </c>
    </row>
    <row r="5" spans="1:3" x14ac:dyDescent="0.25">
      <c r="A5" s="4">
        <v>50208</v>
      </c>
      <c r="B5" s="7">
        <v>15497.25</v>
      </c>
      <c r="C5" s="7">
        <v>15497.25</v>
      </c>
    </row>
    <row r="6" spans="1:3" x14ac:dyDescent="0.25">
      <c r="A6" s="5" t="s">
        <v>72</v>
      </c>
      <c r="B6" s="7">
        <v>15497.25</v>
      </c>
      <c r="C6" s="7">
        <v>15497.25</v>
      </c>
    </row>
    <row r="7" spans="1:3" x14ac:dyDescent="0.25">
      <c r="A7" s="6" t="s">
        <v>73</v>
      </c>
      <c r="B7" s="7">
        <v>15497.25</v>
      </c>
      <c r="C7" s="7">
        <v>15497.25</v>
      </c>
    </row>
    <row r="8" spans="1:3" x14ac:dyDescent="0.25">
      <c r="A8" s="4" t="s">
        <v>84</v>
      </c>
      <c r="B8" s="7">
        <v>15497.25</v>
      </c>
      <c r="C8" s="7">
        <v>15497.25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2"/>
  <sheetViews>
    <sheetView workbookViewId="0">
      <selection sqref="A1:AA2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87</v>
      </c>
      <c r="B2" s="1">
        <v>44743</v>
      </c>
      <c r="C2" t="s">
        <v>88</v>
      </c>
      <c r="D2" s="8" t="s">
        <v>89</v>
      </c>
      <c r="E2">
        <v>50208</v>
      </c>
      <c r="F2">
        <v>12517</v>
      </c>
      <c r="G2" t="s">
        <v>72</v>
      </c>
      <c r="H2">
        <v>11</v>
      </c>
      <c r="I2" t="s">
        <v>76</v>
      </c>
      <c r="J2" t="s">
        <v>73</v>
      </c>
      <c r="K2">
        <v>74242751</v>
      </c>
      <c r="L2" t="s">
        <v>90</v>
      </c>
      <c r="M2" t="s">
        <v>91</v>
      </c>
      <c r="N2" t="s">
        <v>75</v>
      </c>
      <c r="O2">
        <v>15497.25</v>
      </c>
      <c r="S2">
        <v>15497.25</v>
      </c>
      <c r="U2">
        <v>1</v>
      </c>
      <c r="V2">
        <v>15497.25</v>
      </c>
      <c r="Z2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F6C4E-B5FA-4974-8F13-4F3907FAF48A}">
  <dimension ref="A3:I10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7.28515625" bestFit="1" customWidth="1"/>
    <col min="4" max="4" width="17" bestFit="1" customWidth="1"/>
    <col min="5" max="5" width="20.140625" bestFit="1" customWidth="1"/>
    <col min="6" max="8" width="18.5703125" bestFit="1" customWidth="1"/>
    <col min="9" max="9" width="12.5703125" bestFit="1" customWidth="1"/>
  </cols>
  <sheetData>
    <row r="3" spans="1:9" x14ac:dyDescent="0.25">
      <c r="A3" s="3" t="s">
        <v>86</v>
      </c>
      <c r="F3" s="3" t="s">
        <v>63</v>
      </c>
    </row>
    <row r="4" spans="1:9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99</v>
      </c>
      <c r="G4" t="s">
        <v>109</v>
      </c>
      <c r="H4" t="s">
        <v>112</v>
      </c>
      <c r="I4" t="s">
        <v>84</v>
      </c>
    </row>
    <row r="5" spans="1:9" x14ac:dyDescent="0.25">
      <c r="A5" t="s">
        <v>94</v>
      </c>
      <c r="B5">
        <v>50208</v>
      </c>
      <c r="C5" s="9">
        <v>44771</v>
      </c>
      <c r="D5" t="s">
        <v>98</v>
      </c>
      <c r="E5" t="s">
        <v>152</v>
      </c>
      <c r="F5" s="7">
        <v>16544</v>
      </c>
      <c r="G5" s="7">
        <v>821</v>
      </c>
      <c r="H5" s="7">
        <v>12567</v>
      </c>
      <c r="I5" s="7">
        <v>29932</v>
      </c>
    </row>
    <row r="6" spans="1:9" x14ac:dyDescent="0.25">
      <c r="A6" t="s">
        <v>94</v>
      </c>
      <c r="B6">
        <v>50208</v>
      </c>
      <c r="C6" s="9">
        <v>44771</v>
      </c>
      <c r="D6" t="s">
        <v>153</v>
      </c>
      <c r="F6" s="7">
        <v>16544</v>
      </c>
      <c r="G6" s="7">
        <v>821</v>
      </c>
      <c r="H6" s="7">
        <v>12567</v>
      </c>
      <c r="I6" s="7">
        <v>29932</v>
      </c>
    </row>
    <row r="7" spans="1:9" x14ac:dyDescent="0.25">
      <c r="A7" t="s">
        <v>94</v>
      </c>
      <c r="B7">
        <v>50208</v>
      </c>
      <c r="C7" s="9" t="s">
        <v>154</v>
      </c>
      <c r="F7" s="7">
        <v>16544</v>
      </c>
      <c r="G7" s="7">
        <v>821</v>
      </c>
      <c r="H7" s="7">
        <v>12567</v>
      </c>
      <c r="I7" s="7">
        <v>29932</v>
      </c>
    </row>
    <row r="8" spans="1:9" x14ac:dyDescent="0.25">
      <c r="A8" t="s">
        <v>94</v>
      </c>
      <c r="B8" t="s">
        <v>155</v>
      </c>
      <c r="F8" s="7">
        <v>16544</v>
      </c>
      <c r="G8" s="7">
        <v>821</v>
      </c>
      <c r="H8" s="7">
        <v>12567</v>
      </c>
      <c r="I8" s="7">
        <v>29932</v>
      </c>
    </row>
    <row r="9" spans="1:9" x14ac:dyDescent="0.25">
      <c r="A9" t="s">
        <v>156</v>
      </c>
      <c r="F9" s="7">
        <v>16544</v>
      </c>
      <c r="G9" s="7">
        <v>821</v>
      </c>
      <c r="H9" s="7">
        <v>12567</v>
      </c>
      <c r="I9" s="7">
        <v>29932</v>
      </c>
    </row>
    <row r="10" spans="1:9" x14ac:dyDescent="0.25">
      <c r="A10" t="s">
        <v>84</v>
      </c>
      <c r="F10" s="7">
        <v>16544</v>
      </c>
      <c r="G10" s="7">
        <v>821</v>
      </c>
      <c r="H10" s="7">
        <v>12567</v>
      </c>
      <c r="I10" s="7">
        <v>29932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14"/>
  <sheetViews>
    <sheetView workbookViewId="0">
      <selection sqref="A1:V14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93</v>
      </c>
      <c r="B2" t="s">
        <v>94</v>
      </c>
      <c r="C2">
        <v>50208</v>
      </c>
      <c r="D2">
        <v>11</v>
      </c>
      <c r="E2" s="9">
        <v>44771</v>
      </c>
      <c r="F2">
        <v>8642</v>
      </c>
      <c r="G2" s="8" t="s">
        <v>95</v>
      </c>
      <c r="J2" s="8" t="s">
        <v>96</v>
      </c>
      <c r="L2" t="s">
        <v>97</v>
      </c>
      <c r="M2" t="s">
        <v>98</v>
      </c>
      <c r="N2" t="s">
        <v>99</v>
      </c>
      <c r="P2">
        <v>1500</v>
      </c>
      <c r="Q2" s="8" t="s">
        <v>100</v>
      </c>
      <c r="R2" s="8" t="s">
        <v>101</v>
      </c>
      <c r="S2" t="s">
        <v>102</v>
      </c>
    </row>
    <row r="3" spans="1:22" x14ac:dyDescent="0.25">
      <c r="A3" t="s">
        <v>93</v>
      </c>
      <c r="B3" t="s">
        <v>94</v>
      </c>
      <c r="C3">
        <v>50208</v>
      </c>
      <c r="D3">
        <v>11</v>
      </c>
      <c r="E3" s="9">
        <v>44771</v>
      </c>
      <c r="F3">
        <v>8624</v>
      </c>
      <c r="G3" s="8" t="s">
        <v>103</v>
      </c>
      <c r="J3" s="8" t="s">
        <v>104</v>
      </c>
      <c r="L3" t="s">
        <v>97</v>
      </c>
      <c r="M3" t="s">
        <v>98</v>
      </c>
      <c r="N3" t="s">
        <v>99</v>
      </c>
      <c r="P3">
        <v>630</v>
      </c>
      <c r="Q3" s="8" t="s">
        <v>105</v>
      </c>
      <c r="R3" s="8" t="s">
        <v>101</v>
      </c>
      <c r="S3" t="s">
        <v>106</v>
      </c>
    </row>
    <row r="4" spans="1:22" x14ac:dyDescent="0.25">
      <c r="A4" t="s">
        <v>93</v>
      </c>
      <c r="B4" t="s">
        <v>94</v>
      </c>
      <c r="C4">
        <v>50208</v>
      </c>
      <c r="D4">
        <v>11</v>
      </c>
      <c r="E4" s="9">
        <v>44771</v>
      </c>
      <c r="F4">
        <v>8599</v>
      </c>
      <c r="G4" s="8" t="s">
        <v>107</v>
      </c>
      <c r="J4" s="8" t="s">
        <v>108</v>
      </c>
      <c r="L4" t="s">
        <v>97</v>
      </c>
      <c r="M4" t="s">
        <v>98</v>
      </c>
      <c r="N4" t="s">
        <v>109</v>
      </c>
      <c r="P4">
        <v>354</v>
      </c>
      <c r="Q4" s="8" t="s">
        <v>110</v>
      </c>
      <c r="R4" s="8" t="s">
        <v>101</v>
      </c>
      <c r="S4" t="s">
        <v>111</v>
      </c>
    </row>
    <row r="5" spans="1:22" x14ac:dyDescent="0.25">
      <c r="A5" t="s">
        <v>93</v>
      </c>
      <c r="B5" t="s">
        <v>94</v>
      </c>
      <c r="C5">
        <v>50208</v>
      </c>
      <c r="D5">
        <v>11</v>
      </c>
      <c r="E5" s="9">
        <v>44771</v>
      </c>
      <c r="F5">
        <v>8642</v>
      </c>
      <c r="G5" s="8" t="s">
        <v>95</v>
      </c>
      <c r="J5" s="8" t="s">
        <v>96</v>
      </c>
      <c r="L5" t="s">
        <v>97</v>
      </c>
      <c r="M5" t="s">
        <v>98</v>
      </c>
      <c r="N5" t="s">
        <v>112</v>
      </c>
      <c r="P5">
        <v>497</v>
      </c>
      <c r="Q5" s="8" t="s">
        <v>100</v>
      </c>
      <c r="R5" s="8" t="s">
        <v>101</v>
      </c>
      <c r="S5" t="s">
        <v>102</v>
      </c>
      <c r="T5" t="s">
        <v>113</v>
      </c>
      <c r="V5" t="s">
        <v>114</v>
      </c>
    </row>
    <row r="6" spans="1:22" x14ac:dyDescent="0.25">
      <c r="A6" t="s">
        <v>93</v>
      </c>
      <c r="B6" t="s">
        <v>94</v>
      </c>
      <c r="C6">
        <v>50208</v>
      </c>
      <c r="D6">
        <v>11</v>
      </c>
      <c r="E6" s="9">
        <v>44771</v>
      </c>
      <c r="F6">
        <v>8603</v>
      </c>
      <c r="G6" s="8" t="s">
        <v>115</v>
      </c>
      <c r="J6" s="8" t="s">
        <v>116</v>
      </c>
      <c r="L6" t="s">
        <v>97</v>
      </c>
      <c r="M6" t="s">
        <v>98</v>
      </c>
      <c r="N6" t="s">
        <v>112</v>
      </c>
      <c r="P6">
        <v>2773</v>
      </c>
      <c r="Q6" s="8" t="s">
        <v>117</v>
      </c>
      <c r="R6" s="8" t="s">
        <v>101</v>
      </c>
      <c r="S6" t="s">
        <v>118</v>
      </c>
      <c r="T6" t="s">
        <v>113</v>
      </c>
      <c r="V6" t="s">
        <v>119</v>
      </c>
    </row>
    <row r="7" spans="1:22" x14ac:dyDescent="0.25">
      <c r="A7" t="s">
        <v>93</v>
      </c>
      <c r="B7" t="s">
        <v>94</v>
      </c>
      <c r="C7">
        <v>50208</v>
      </c>
      <c r="D7">
        <v>11</v>
      </c>
      <c r="E7" s="9">
        <v>44771</v>
      </c>
      <c r="F7">
        <v>8600</v>
      </c>
      <c r="G7" s="8" t="s">
        <v>120</v>
      </c>
      <c r="J7" s="8" t="s">
        <v>121</v>
      </c>
      <c r="L7" t="s">
        <v>97</v>
      </c>
      <c r="M7" t="s">
        <v>98</v>
      </c>
      <c r="N7" t="s">
        <v>109</v>
      </c>
      <c r="P7">
        <v>20</v>
      </c>
      <c r="Q7" s="8" t="s">
        <v>122</v>
      </c>
      <c r="R7" s="8" t="s">
        <v>101</v>
      </c>
      <c r="S7" t="s">
        <v>111</v>
      </c>
    </row>
    <row r="8" spans="1:22" x14ac:dyDescent="0.25">
      <c r="A8" t="s">
        <v>93</v>
      </c>
      <c r="B8" t="s">
        <v>94</v>
      </c>
      <c r="C8">
        <v>50208</v>
      </c>
      <c r="D8">
        <v>11</v>
      </c>
      <c r="E8" s="9">
        <v>44771</v>
      </c>
      <c r="F8">
        <v>8597</v>
      </c>
      <c r="G8" s="8" t="s">
        <v>123</v>
      </c>
      <c r="J8" s="8" t="s">
        <v>124</v>
      </c>
      <c r="L8" t="s">
        <v>97</v>
      </c>
      <c r="M8" t="s">
        <v>98</v>
      </c>
      <c r="N8" t="s">
        <v>109</v>
      </c>
      <c r="P8">
        <v>427</v>
      </c>
      <c r="Q8" s="8" t="s">
        <v>125</v>
      </c>
      <c r="R8" s="8" t="s">
        <v>101</v>
      </c>
      <c r="S8" t="s">
        <v>126</v>
      </c>
    </row>
    <row r="9" spans="1:22" x14ac:dyDescent="0.25">
      <c r="A9" t="s">
        <v>93</v>
      </c>
      <c r="B9" t="s">
        <v>94</v>
      </c>
      <c r="C9">
        <v>50208</v>
      </c>
      <c r="D9">
        <v>11</v>
      </c>
      <c r="E9" s="9">
        <v>44771</v>
      </c>
      <c r="F9">
        <v>8631</v>
      </c>
      <c r="G9" s="8" t="s">
        <v>127</v>
      </c>
      <c r="J9" s="8" t="s">
        <v>128</v>
      </c>
      <c r="L9" t="s">
        <v>97</v>
      </c>
      <c r="M9" t="s">
        <v>98</v>
      </c>
      <c r="N9" t="s">
        <v>99</v>
      </c>
      <c r="P9">
        <v>840</v>
      </c>
      <c r="Q9" s="8" t="s">
        <v>129</v>
      </c>
      <c r="R9" s="8" t="s">
        <v>101</v>
      </c>
      <c r="S9" t="s">
        <v>130</v>
      </c>
    </row>
    <row r="10" spans="1:22" x14ac:dyDescent="0.25">
      <c r="A10" t="s">
        <v>93</v>
      </c>
      <c r="B10" t="s">
        <v>94</v>
      </c>
      <c r="C10">
        <v>50208</v>
      </c>
      <c r="D10">
        <v>11</v>
      </c>
      <c r="E10" s="9">
        <v>44771</v>
      </c>
      <c r="F10">
        <v>8634</v>
      </c>
      <c r="G10" s="8" t="s">
        <v>131</v>
      </c>
      <c r="J10" s="8" t="s">
        <v>132</v>
      </c>
      <c r="L10" t="s">
        <v>97</v>
      </c>
      <c r="M10" t="s">
        <v>98</v>
      </c>
      <c r="N10" t="s">
        <v>99</v>
      </c>
      <c r="P10">
        <v>8997</v>
      </c>
      <c r="Q10" s="8" t="s">
        <v>133</v>
      </c>
      <c r="R10" s="8" t="s">
        <v>101</v>
      </c>
      <c r="S10" t="s">
        <v>134</v>
      </c>
    </row>
    <row r="11" spans="1:22" x14ac:dyDescent="0.25">
      <c r="A11" t="s">
        <v>93</v>
      </c>
      <c r="B11" t="s">
        <v>94</v>
      </c>
      <c r="C11">
        <v>50208</v>
      </c>
      <c r="D11">
        <v>11</v>
      </c>
      <c r="E11" s="9">
        <v>44771</v>
      </c>
      <c r="F11">
        <v>8615</v>
      </c>
      <c r="G11" s="8" t="s">
        <v>135</v>
      </c>
      <c r="J11" s="8" t="s">
        <v>136</v>
      </c>
      <c r="L11" t="s">
        <v>97</v>
      </c>
      <c r="M11" t="s">
        <v>98</v>
      </c>
      <c r="N11" t="s">
        <v>112</v>
      </c>
      <c r="P11">
        <v>9297</v>
      </c>
      <c r="Q11" s="8" t="s">
        <v>137</v>
      </c>
      <c r="R11" s="8" t="s">
        <v>101</v>
      </c>
      <c r="S11" t="s">
        <v>138</v>
      </c>
      <c r="T11" t="s">
        <v>139</v>
      </c>
      <c r="V11" t="s">
        <v>140</v>
      </c>
    </row>
    <row r="12" spans="1:22" x14ac:dyDescent="0.25">
      <c r="A12" t="s">
        <v>93</v>
      </c>
      <c r="B12" t="s">
        <v>94</v>
      </c>
      <c r="C12">
        <v>50208</v>
      </c>
      <c r="D12">
        <v>11</v>
      </c>
      <c r="E12" s="9">
        <v>44771</v>
      </c>
      <c r="F12">
        <v>8613</v>
      </c>
      <c r="G12" s="8" t="s">
        <v>141</v>
      </c>
      <c r="J12" s="8" t="s">
        <v>142</v>
      </c>
      <c r="L12" t="s">
        <v>97</v>
      </c>
      <c r="M12" t="s">
        <v>98</v>
      </c>
      <c r="N12" t="s">
        <v>99</v>
      </c>
      <c r="P12">
        <v>630</v>
      </c>
      <c r="Q12" s="8" t="s">
        <v>143</v>
      </c>
      <c r="R12" s="8" t="s">
        <v>101</v>
      </c>
      <c r="S12" t="s">
        <v>144</v>
      </c>
    </row>
    <row r="13" spans="1:22" x14ac:dyDescent="0.25">
      <c r="A13" t="s">
        <v>93</v>
      </c>
      <c r="B13" t="s">
        <v>94</v>
      </c>
      <c r="C13">
        <v>50208</v>
      </c>
      <c r="D13">
        <v>11</v>
      </c>
      <c r="E13" s="9">
        <v>44771</v>
      </c>
      <c r="F13">
        <v>8626</v>
      </c>
      <c r="G13" s="8" t="s">
        <v>145</v>
      </c>
      <c r="J13" s="8" t="s">
        <v>146</v>
      </c>
      <c r="L13" t="s">
        <v>97</v>
      </c>
      <c r="M13" t="s">
        <v>98</v>
      </c>
      <c r="N13" t="s">
        <v>99</v>
      </c>
      <c r="P13">
        <v>3947</v>
      </c>
      <c r="Q13" s="8" t="s">
        <v>147</v>
      </c>
      <c r="R13" s="8" t="s">
        <v>101</v>
      </c>
      <c r="S13" t="s">
        <v>148</v>
      </c>
    </row>
    <row r="14" spans="1:22" x14ac:dyDescent="0.25">
      <c r="A14" t="s">
        <v>93</v>
      </c>
      <c r="B14" t="s">
        <v>94</v>
      </c>
      <c r="C14">
        <v>50208</v>
      </c>
      <c r="D14">
        <v>11</v>
      </c>
      <c r="E14" s="9">
        <v>44771</v>
      </c>
      <c r="F14">
        <v>8598</v>
      </c>
      <c r="G14" s="8" t="s">
        <v>149</v>
      </c>
      <c r="J14" s="8" t="s">
        <v>150</v>
      </c>
      <c r="L14" t="s">
        <v>97</v>
      </c>
      <c r="M14" t="s">
        <v>98</v>
      </c>
      <c r="N14" t="s">
        <v>109</v>
      </c>
      <c r="P14">
        <v>20</v>
      </c>
      <c r="Q14" s="8" t="s">
        <v>151</v>
      </c>
      <c r="R14" s="8" t="s">
        <v>101</v>
      </c>
      <c r="S14" t="s">
        <v>126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2022-08-01T16:06:15Z</dcterms:modified>
</cp:coreProperties>
</file>