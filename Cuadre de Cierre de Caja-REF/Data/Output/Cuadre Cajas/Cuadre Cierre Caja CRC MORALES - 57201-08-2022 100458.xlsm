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_coronado\Documents\UiPath\Cuadre de Cierre de Caja-REF\Data\Output\Cuadre Cajas\"/>
    </mc:Choice>
  </mc:AlternateContent>
  <xr:revisionPtr revIDLastSave="0" documentId="13_ncr:1_{FACCAD51-36C1-4788-9C19-2F944406693E}" xr6:coauthVersionLast="47" xr6:coauthVersionMax="47" xr10:uidLastSave="{00000000-0000-0000-0000-000000000000}"/>
  <bookViews>
    <workbookView xWindow="390" yWindow="390" windowWidth="21600" windowHeight="11385" xr2:uid="{00000000-000D-0000-FFFF-FFFF00000000}"/>
  </bookViews>
  <sheets>
    <sheet name="Cierre" sheetId="6" r:id="rId1"/>
    <sheet name="tblTarjetas" sheetId="7" state="hidden" r:id="rId2"/>
    <sheet name="Tarjetas" sheetId="1" state="hidden" r:id="rId3"/>
    <sheet name="tblDepositos" sheetId="8" state="hidden" r:id="rId4"/>
    <sheet name="Depositos" sheetId="2" state="hidden" r:id="rId5"/>
    <sheet name="tblTransaccional" sheetId="9" state="hidden" r:id="rId6"/>
    <sheet name="Transaccional" sheetId="5" state="hidden" r:id="rId7"/>
  </sheets>
  <calcPr calcId="162913"/>
  <pivotCaches>
    <pivotCache cacheId="10" r:id="rId8"/>
    <pivotCache cacheId="11" r:id="rId9"/>
    <pivotCache cacheId="12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<sst xmlns="http://schemas.openxmlformats.org/spreadsheetml/2006/main" count="344" uniqueCount="154">
  <si>
    <t>NÚMERO TRANSACCION</t>
  </si>
  <si>
    <t>DESC CUENTA</t>
  </si>
  <si>
    <t>CENTRO ANALISIS</t>
  </si>
  <si>
    <t>RI</t>
  </si>
  <si>
    <t>NO CAJA</t>
  </si>
  <si>
    <t>DESC ALMACEN</t>
  </si>
  <si>
    <t>REFERENCIA</t>
  </si>
  <si>
    <t>PERIODO CONTABLE</t>
  </si>
  <si>
    <t>FECHA AUTORIZACIÓN</t>
  </si>
  <si>
    <t>TIPO PROMOCIÓN</t>
  </si>
  <si>
    <t>MONEDA</t>
  </si>
  <si>
    <t>MONTO</t>
  </si>
  <si>
    <t>NUMERO CONFIRMADO</t>
  </si>
  <si>
    <t>Monto Confirmado</t>
  </si>
  <si>
    <t>Diferencia</t>
  </si>
  <si>
    <t>TASA DE CAMBIO</t>
  </si>
  <si>
    <t>MONTO MNL</t>
  </si>
  <si>
    <t>ESTADO</t>
  </si>
  <si>
    <t>FECHA BANCO</t>
  </si>
  <si>
    <t>NÚMERO DE DEPOSITO</t>
  </si>
  <si>
    <t>NÚMERO CCF</t>
  </si>
  <si>
    <t>FECHA CONFIRMACION</t>
  </si>
  <si>
    <t>FECHA CONTABLE</t>
  </si>
  <si>
    <t>EMPLEADO</t>
  </si>
  <si>
    <t>ACTUALIZADO POR</t>
  </si>
  <si>
    <t>Compañia</t>
  </si>
  <si>
    <t>Período</t>
  </si>
  <si>
    <t>Tipo</t>
  </si>
  <si>
    <t>Número Transacción</t>
  </si>
  <si>
    <t>Centro Analisis</t>
  </si>
  <si>
    <t>Tienda</t>
  </si>
  <si>
    <t>Desc Almacen</t>
  </si>
  <si>
    <t>Caja</t>
  </si>
  <si>
    <t>Estado</t>
  </si>
  <si>
    <t>Fecha deposito</t>
  </si>
  <si>
    <t>Numero Deposito</t>
  </si>
  <si>
    <t>Numero Cuenta</t>
  </si>
  <si>
    <t>Desc Cuenta</t>
  </si>
  <si>
    <t>Moneda</t>
  </si>
  <si>
    <t>Monto</t>
  </si>
  <si>
    <t>Fecha Banco</t>
  </si>
  <si>
    <t>Número Déposito Confirmado</t>
  </si>
  <si>
    <t>Número Cuenta Confirmada</t>
  </si>
  <si>
    <t>Tasa de Cambio</t>
  </si>
  <si>
    <t>Monto MNL</t>
  </si>
  <si>
    <t>Motivo</t>
  </si>
  <si>
    <t>Fecha confirmacion</t>
  </si>
  <si>
    <t>Fecha Contabilización</t>
  </si>
  <si>
    <t>Empleado</t>
  </si>
  <si>
    <t>Actualizado por</t>
  </si>
  <si>
    <t>CADENA</t>
  </si>
  <si>
    <t>TIENDA</t>
  </si>
  <si>
    <t>CDA</t>
  </si>
  <si>
    <t>CAJA</t>
  </si>
  <si>
    <t>FECHA TRANSACCION</t>
  </si>
  <si>
    <t>CORRELATIVO CAJA</t>
  </si>
  <si>
    <t>No. TRANSACCION</t>
  </si>
  <si>
    <t>TRANSACCION ORIGINAL (Devolución)</t>
  </si>
  <si>
    <t>TRANSACCIÓN CAJA ORIGINAL(Devolución)</t>
  </si>
  <si>
    <t>No. DOCUMENTO</t>
  </si>
  <si>
    <t>NUMERO DE SOLICITUD</t>
  </si>
  <si>
    <t>TIPO DOCUMENTO</t>
  </si>
  <si>
    <t>TRANSACCIONES CAJA</t>
  </si>
  <si>
    <t>FORMA DE PAGO</t>
  </si>
  <si>
    <t>CODIGO DE RAZON</t>
  </si>
  <si>
    <t>NUM_COTIZACON</t>
  </si>
  <si>
    <t>NUM_CUENTA</t>
  </si>
  <si>
    <t>NOMBRE_CLIENTE</t>
  </si>
  <si>
    <t>BANCO</t>
  </si>
  <si>
    <t>AUTORIZACION</t>
  </si>
  <si>
    <t>PROMOCION</t>
  </si>
  <si>
    <t>Union Comercial de Guatemala, S.A. - Banco G&amp;T Continental, S.A.</t>
  </si>
  <si>
    <t>UNICOMER-MORALES</t>
  </si>
  <si>
    <t>29/07/2022</t>
  </si>
  <si>
    <t>TARJETA</t>
  </si>
  <si>
    <t>GTQ</t>
  </si>
  <si>
    <t>NOC</t>
  </si>
  <si>
    <t>DAYANA IRASEMA SALAZAR PEREZ</t>
  </si>
  <si>
    <t>system</t>
  </si>
  <si>
    <t>Etiquetas de columna</t>
  </si>
  <si>
    <t>Total general</t>
  </si>
  <si>
    <t>Etiquetas de fila</t>
  </si>
  <si>
    <t>Suma de MONTO</t>
  </si>
  <si>
    <t>UNICOSERVI</t>
  </si>
  <si>
    <t>CSH</t>
  </si>
  <si>
    <t>12572025503620220729</t>
  </si>
  <si>
    <t>CON</t>
  </si>
  <si>
    <t>000-000908-4</t>
  </si>
  <si>
    <t>Banco Industrial, S.A.</t>
  </si>
  <si>
    <t>28/07/2022</t>
  </si>
  <si>
    <t>Confirmación Automática</t>
  </si>
  <si>
    <t>31/07/2022</t>
  </si>
  <si>
    <t>JUAN MANUEL MENDEZ PAZ</t>
  </si>
  <si>
    <t>12572000335420220729</t>
  </si>
  <si>
    <t>UNICOMER</t>
  </si>
  <si>
    <t>000-063091-3</t>
  </si>
  <si>
    <t>BLUESTART GUATEMALA, S.A.</t>
  </si>
  <si>
    <t>NRGL</t>
  </si>
  <si>
    <t>066-0030603-2</t>
  </si>
  <si>
    <t>Banco G&amp;T C</t>
  </si>
  <si>
    <t>12572025503520220729</t>
  </si>
  <si>
    <t>3-033-36143-9</t>
  </si>
  <si>
    <t>Banco de Desarrollo Rural, S.A.</t>
  </si>
  <si>
    <t>26/07/2022</t>
  </si>
  <si>
    <t>12572025503820220729</t>
  </si>
  <si>
    <t>12572025503320220729</t>
  </si>
  <si>
    <t>20/07/2022</t>
  </si>
  <si>
    <t>12572025503920220729</t>
  </si>
  <si>
    <t xml:space="preserve">Diferencia en Caja </t>
  </si>
  <si>
    <t>12572025503420220729</t>
  </si>
  <si>
    <t>12572025503720220729</t>
  </si>
  <si>
    <t>Banco de America Central, S.A.</t>
  </si>
  <si>
    <t>Diferencia al seleccionar cuenta bancaria.</t>
  </si>
  <si>
    <t>Suma de Monto</t>
  </si>
  <si>
    <t>LA CURACAO</t>
  </si>
  <si>
    <t>CRC MORALES</t>
  </si>
  <si>
    <t>12572025502720220729</t>
  </si>
  <si>
    <t>CC2EACB6829113570</t>
  </si>
  <si>
    <t>Factura Consumidor Final</t>
  </si>
  <si>
    <t>Venta Cotización contado</t>
  </si>
  <si>
    <t>Efectivo</t>
  </si>
  <si>
    <t>125722182200PW</t>
  </si>
  <si>
    <t/>
  </si>
  <si>
    <t>CARLOS EDUARDO GARCIA RAYMUNDO</t>
  </si>
  <si>
    <t>12572025501820220729</t>
  </si>
  <si>
    <t>BC6E45933453635664</t>
  </si>
  <si>
    <t>125722182200PT</t>
  </si>
  <si>
    <t>MIGUEL ANGEL RAMIREZ RAMOS</t>
  </si>
  <si>
    <t>12572025501520220729</t>
  </si>
  <si>
    <t>F70FF9E6745621084</t>
  </si>
  <si>
    <t>125722472200KV</t>
  </si>
  <si>
    <t xml:space="preserve">HECTOR  DE JESUS  RAMOS  </t>
  </si>
  <si>
    <t>12572025501220220729</t>
  </si>
  <si>
    <t>ED0B23673372174941</t>
  </si>
  <si>
    <t>125722462200H4</t>
  </si>
  <si>
    <t xml:space="preserve">MIGUEL   RIVERA GARCIA </t>
  </si>
  <si>
    <t>(en blanco)</t>
  </si>
  <si>
    <t>Total Venta Cotización contado</t>
  </si>
  <si>
    <t>Total 29/07/2022</t>
  </si>
  <si>
    <t>Total 50252</t>
  </si>
  <si>
    <t>Total CRC MORALES</t>
  </si>
  <si>
    <t>CIA</t>
  </si>
  <si>
    <t>INHOUSE DEP-TC</t>
  </si>
  <si>
    <t>INGRESOS CORTE DE CAJA</t>
  </si>
  <si>
    <t>CIERRE P.O.S.</t>
  </si>
  <si>
    <t>VENTAS TC INTERNET</t>
  </si>
  <si>
    <t>VISALINK</t>
  </si>
  <si>
    <t>TRASLADOS</t>
  </si>
  <si>
    <t>DIFERENCIA</t>
  </si>
  <si>
    <t>OBSERVACIÓN</t>
  </si>
  <si>
    <t>BLUESTART</t>
  </si>
  <si>
    <t>TARJETAS</t>
  </si>
  <si>
    <t>Columna1</t>
  </si>
  <si>
    <t>Columna2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</si>
</sst>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8"/>
      <color theme="1"/>
      <name val="Eras Medium ITC"/>
      <family val="2"/>
    </font>
  </fonts>
  <fills count="3">
    <fill>
      <patternFill patternType="none"/>
    </fill>
    <fill>
      <patternFill patternType="gray125"/>
    </fill>
    <fill>
      <patternFill patternType="solid">
        <fgColor rgb="FFCFE0F1"/>
      </patternFill>
    </fill>
  </fills>
  <borders count="2">
    <border>
      <left/>
      <right/>
      <top/>
      <bottom/>
      <diagonal/>
    </border>
    <border>
      <left style="thin">
        <color rgb="FF777777"/>
      </left>
      <right style="thin">
        <color rgb="FF777777"/>
      </right>
      <top/>
      <bottom style="thin">
        <color rgb="FF777777"/>
      </bottom>
      <diagonal/>
    </border>
  </borders>
  <cellStyleXfs count="1">
    <xf numFmtId="0" fontId="0" fillId="0" borderId="0"/>
  </cellStyleXfs>
  <cellXfs count="10">
    <xf numFmtId="0" fontId="0" fillId="0" borderId="0" xfId="0"/>
    <xf numFmtId="17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3" fontId="0" fillId="0" borderId="0" xfId="0" applyNumberFormat="1"/>
    <xf numFmtId="0" fontId="0" fillId="0" borderId="0" xfId="0" quotePrefix="1"/>
    <xf numFmtId="14" fontId="0" fillId="0" borderId="0" xfId="0" applyNumberFormat="1"/>
  </cellXfs>
  <cellStyles count="1">
    <cellStyle name="Normal" xfId="0" builtinId="0"/>
  </cellStyles>
  <dxfs count="12">
    <dxf>
      <numFmt numFmtId="164" formatCode="m/d/yy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135995373" createdVersion="3" refreshedVersion="8" minRefreshableVersion="3" recordCount="3" xr:uid="{2056DB6E-FE35-49D1-ACBC-B05502B97F4C}">
  <cacheSource type="worksheet">
    <worksheetSource name="Tabla1"/>
  </cacheSource>
  <cacheFields count="25">
    <cacheField name="NÚMERO TRANSACCION" numFmtId="0">
      <sharedItems containsSemiMixedTypes="0" containsString="0" containsNumber="1" containsInteger="1" minValue="1.2572025500220201E+19" maxValue="1.2572025503220199E+19"/>
    </cacheField>
    <cacheField name="DESC CUENTA" numFmtId="0">
      <sharedItems/>
    </cacheField>
    <cacheField name="CENTRO ANALISIS" numFmtId="0">
      <sharedItems containsSemiMixedTypes="0" containsString="0" containsNumber="1" containsInteger="1" minValue="50252" maxValue="50252" count="1">
        <n v="50252"/>
      </sharedItems>
    </cacheField>
    <cacheField name="RI" numFmtId="0">
      <sharedItems containsSemiMixedTypes="0" containsString="0" containsNumber="1" containsInteger="1" minValue="572" maxValue="572"/>
    </cacheField>
    <cacheField name="NO CAJA" numFmtId="0">
      <sharedItems containsSemiMixedTypes="0" containsString="0" containsNumber="1" containsInteger="1" minValue="25" maxValue="25"/>
    </cacheField>
    <cacheField name="DESC ALMACEN" numFmtId="0">
      <sharedItems count="1">
        <s v="UNICOMER-MORALES"/>
      </sharedItems>
    </cacheField>
    <cacheField name="REFERENCIA" numFmtId="0">
      <sharedItems containsSemiMixedTypes="0" containsString="0" containsNumber="1" containsInteger="1" minValue="101108" maxValue="659429"/>
    </cacheField>
    <cacheField name="PERIODO CONTABLE" numFmtId="17">
      <sharedItems containsSemiMixedTypes="0" containsNonDate="0" containsDate="1" containsString="0" minDate="2022-07-01T00:00:00" maxDate="2022-07-02T00:00:00"/>
    </cacheField>
    <cacheField name="FECHA AUTORIZACIÓN" numFmtId="0">
      <sharedItems count="1">
        <s v="29/07/2022"/>
      </sharedItems>
    </cacheField>
    <cacheField name="TIPO PROMOCIÓN" numFmtId="0">
      <sharedItems/>
    </cacheField>
    <cacheField name="MONEDA" numFmtId="0">
      <sharedItems/>
    </cacheField>
    <cacheField name="MONTO" numFmtId="0">
      <sharedItems containsSemiMixedTypes="0" containsString="0" containsNumber="1" containsInteger="1" minValue="108" maxValue="450"/>
    </cacheField>
    <cacheField name="NUMERO CONFIRMADO" numFmtId="0">
      <sharedItems containsNonDate="0" containsString="0" containsBlank="1"/>
    </cacheField>
    <cacheField name="Monto Confirmado" numFmtId="0">
      <sharedItems containsNonDate="0" containsString="0" containsBlank="1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containsInteger="1" minValue="108" maxValue="450"/>
    </cacheField>
    <cacheField name="ESTADO" numFmtId="0">
      <sharedItems count="1">
        <s v="NOC"/>
      </sharedItems>
    </cacheField>
    <cacheField name="FECHA BANCO" numFmtId="0">
      <sharedItems containsNonDate="0" containsString="0" containsBlank="1"/>
    </cacheField>
    <cacheField name="NÚMERO DE DEPOSITO" numFmtId="0">
      <sharedItems containsNonDate="0" containsString="0" containsBlank="1"/>
    </cacheField>
    <cacheField name="NÚMERO CCF" numFmtId="0">
      <sharedItems containsNonDate="0" containsString="0" containsBlank="1"/>
    </cacheField>
    <cacheField name="FECHA CONFIRMACION" numFmtId="0">
      <sharedItems containsNonDate="0" containsString="0" containsBlank="1"/>
    </cacheField>
    <cacheField name="FECHA CONTABLE" numFmtId="0">
      <sharedItems containsNonDate="0" containsString="0" containsBlank="1"/>
    </cacheField>
    <cacheField name="EMPLEADO" numFmtId="0">
      <sharedItems/>
    </cacheField>
    <cacheField name="ACTUALIZADO P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164814816" createdVersion="3" refreshedVersion="8" minRefreshableVersion="3" recordCount="10" xr:uid="{F327C52D-1966-44FE-967F-B942F72518B2}">
  <cacheSource type="worksheet">
    <worksheetSource name="Tabla2"/>
  </cacheSource>
  <cacheFields count="27">
    <cacheField name="Compañia" numFmtId="0">
      <sharedItems count="3">
        <s v="UNICOSERVI"/>
        <s v="UNICOMER"/>
        <s v="BLUESTART GUATEMALA, S.A."/>
      </sharedItems>
    </cacheField>
    <cacheField name="Período" numFmtId="17">
      <sharedItems containsSemiMixedTypes="0" containsNonDate="0" containsDate="1" containsString="0" minDate="2022-07-01T00:00:00" maxDate="2022-07-02T00:00:00"/>
    </cacheField>
    <cacheField name="Tipo" numFmtId="0">
      <sharedItems/>
    </cacheField>
    <cacheField name="Número Transacción" numFmtId="0">
      <sharedItems/>
    </cacheField>
    <cacheField name="Centro Analisis" numFmtId="0">
      <sharedItems containsSemiMixedTypes="0" containsString="0" containsNumber="1" containsInteger="1" minValue="50252" maxValue="50252" count="1">
        <n v="50252"/>
      </sharedItems>
    </cacheField>
    <cacheField name="Tienda" numFmtId="0">
      <sharedItems containsSemiMixedTypes="0" containsString="0" containsNumber="1" containsInteger="1" minValue="12572" maxValue="12572"/>
    </cacheField>
    <cacheField name="Desc Almacen" numFmtId="0">
      <sharedItems count="1">
        <s v="UNICOMER-MORALES"/>
      </sharedItems>
    </cacheField>
    <cacheField name="Caja" numFmtId="0">
      <sharedItems containsSemiMixedTypes="0" containsString="0" containsNumber="1" containsInteger="1" minValue="25" maxValue="25"/>
    </cacheField>
    <cacheField name="Estado" numFmtId="0">
      <sharedItems/>
    </cacheField>
    <cacheField name="Fecha deposito" numFmtId="0">
      <sharedItems count="1">
        <s v="29/07/2022"/>
      </sharedItems>
    </cacheField>
    <cacheField name="Numero Deposito" numFmtId="0">
      <sharedItems containsSemiMixedTypes="0" containsString="0" containsNumber="1" containsInteger="1" minValue="8993440" maxValue="165818296"/>
    </cacheField>
    <cacheField name="Numero Cuenta" numFmtId="0">
      <sharedItems containsMixedTypes="1" containsNumber="1" containsInteger="1" minValue="701720175" maxValue="701720175"/>
    </cacheField>
    <cacheField name="Desc Cuenta" numFmtId="0">
      <sharedItems/>
    </cacheField>
    <cacheField name="Moneda" numFmtId="0">
      <sharedItems/>
    </cacheField>
    <cacheField name="Monto" numFmtId="0">
      <sharedItems containsSemiMixedTypes="0" containsString="0" containsNumber="1" minValue="74" maxValue="14409.05"/>
    </cacheField>
    <cacheField name="Fecha Banco" numFmtId="0">
      <sharedItems containsBlank="1"/>
    </cacheField>
    <cacheField name="Número Déposito Confirmado" numFmtId="0">
      <sharedItems containsString="0" containsBlank="1" containsNumber="1" containsInteger="1" minValue="60363214" maxValue="165818296"/>
    </cacheField>
    <cacheField name="Número Cuenta Confirmada" numFmtId="0">
      <sharedItems containsBlank="1"/>
    </cacheField>
    <cacheField name="Monto Confirmado" numFmtId="0">
      <sharedItems containsSemiMixedTypes="0" containsString="0" containsNumber="1" minValue="74" maxValue="14409.05"/>
    </cacheField>
    <cacheField name="Diferencia" numFmtId="0">
      <sharedItems containsString="0" containsBlank="1" containsNumber="1" minValue="0.79" maxValue="1.6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minValue="74" maxValue="14409.05"/>
    </cacheField>
    <cacheField name="Motivo" numFmtId="0">
      <sharedItems containsBlank="1"/>
    </cacheField>
    <cacheField name="Fecha confirmacion" numFmtId="0">
      <sharedItems containsDate="1" containsBlank="1" containsMixedTypes="1" minDate="2022-01-08T00:00:00" maxDate="2022-01-09T00:00:00"/>
    </cacheField>
    <cacheField name="Fecha Contabilización" numFmtId="0">
      <sharedItems containsNonDate="0" containsString="0" containsBlank="1"/>
    </cacheField>
    <cacheField name="Empleado" numFmtId="0">
      <sharedItems/>
    </cacheField>
    <cacheField name="Actualizado po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270601855" createdVersion="3" refreshedVersion="8" minRefreshableVersion="3" recordCount="4" xr:uid="{9421C06E-08A8-4151-A247-FE0961334C58}">
  <cacheSource type="worksheet">
    <worksheetSource name="Tabla3"/>
  </cacheSource>
  <cacheFields count="22">
    <cacheField name="CADENA" numFmtId="0">
      <sharedItems/>
    </cacheField>
    <cacheField name="TIENDA" numFmtId="0">
      <sharedItems count="1">
        <s v="CRC MORALES"/>
      </sharedItems>
    </cacheField>
    <cacheField name="CDA" numFmtId="0">
      <sharedItems containsSemiMixedTypes="0" containsString="0" containsNumber="1" containsInteger="1" minValue="50252" maxValue="50252" count="1">
        <n v="50252"/>
      </sharedItems>
    </cacheField>
    <cacheField name="CAJA" numFmtId="0">
      <sharedItems containsSemiMixedTypes="0" containsString="0" containsNumber="1" containsInteger="1" minValue="25" maxValue="25"/>
    </cacheField>
    <cacheField name="FECHA TRANSACCION" numFmtId="14">
      <sharedItems containsSemiMixedTypes="0" containsNonDate="0" containsDate="1" containsString="0" minDate="2022-07-29T00:00:00" maxDate="2022-07-30T00:00:00" count="1">
        <d v="2022-07-29T00:00:00"/>
      </sharedItems>
    </cacheField>
    <cacheField name="CORRELATIVO CAJA" numFmtId="0">
      <sharedItems containsSemiMixedTypes="0" containsString="0" containsNumber="1" containsInteger="1" minValue="5012" maxValue="5027"/>
    </cacheField>
    <cacheField name="No. TRANSACCION" numFmtId="0">
      <sharedItems/>
    </cacheField>
    <cacheField name="TRANSACCION ORIGINAL (Devolución)" numFmtId="0">
      <sharedItems containsNonDate="0" containsString="0" containsBlank="1"/>
    </cacheField>
    <cacheField name="TRANSACCIÓN CAJA ORIGINAL(Devolución)" numFmtId="0">
      <sharedItems containsNonDate="0" containsString="0" containsBlank="1"/>
    </cacheField>
    <cacheField name="No. DOCUMENTO" numFmtId="0">
      <sharedItems/>
    </cacheField>
    <cacheField name="NUMERO DE SOLICITUD" numFmtId="0">
      <sharedItems containsNonDate="0" containsString="0" containsBlank="1"/>
    </cacheField>
    <cacheField name="TIPO DOCUMENTO" numFmtId="0">
      <sharedItems/>
    </cacheField>
    <cacheField name="TRANSACCIONES CAJA" numFmtId="0">
      <sharedItems count="1">
        <s v="Venta Cotización contado"/>
      </sharedItems>
    </cacheField>
    <cacheField name="FORMA DE PAGO" numFmtId="0">
      <sharedItems count="1">
        <s v="Efectivo"/>
      </sharedItems>
    </cacheField>
    <cacheField name="CODIGO DE RAZON" numFmtId="0">
      <sharedItems containsNonDate="0" containsString="0" containsBlank="1" count="1">
        <m/>
      </sharedItems>
    </cacheField>
    <cacheField name="MONTO" numFmtId="0">
      <sharedItems containsSemiMixedTypes="0" containsString="0" containsNumber="1" minValue="47.2" maxValue="5797"/>
    </cacheField>
    <cacheField name="NUM_COTIZACON" numFmtId="0">
      <sharedItems/>
    </cacheField>
    <cacheField name="NUM_CUENTA" numFmtId="0">
      <sharedItems/>
    </cacheField>
    <cacheField name="NOMBRE_CLIENTE" numFmtId="0">
      <sharedItems/>
    </cacheField>
    <cacheField name="BANCO" numFmtId="0">
      <sharedItems containsNonDate="0" containsString="0" containsBlank="1"/>
    </cacheField>
    <cacheField name="AUTORIZACION" numFmtId="0">
      <sharedItems containsNonDate="0" containsString="0" containsBlank="1"/>
    </cacheField>
    <cacheField name="PROMOCIO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1.2572025500220201E+19"/>
    <s v="Union Comercial de Guatemala, S.A. - Banco G&amp;T Continental, S.A."/>
    <x v="0"/>
    <n v="572"/>
    <n v="25"/>
    <x v="0"/>
    <n v="659429"/>
    <d v="2022-07-01T00:00:00"/>
    <x v="0"/>
    <s v="TARJETA"/>
    <s v="GTQ"/>
    <n v="211"/>
    <m/>
    <m/>
    <m/>
    <n v="1"/>
    <n v="211"/>
    <x v="0"/>
    <m/>
    <m/>
    <m/>
    <m/>
    <m/>
    <s v="DAYANA IRASEMA SALAZAR PEREZ"/>
    <s v="system"/>
  </r>
  <r>
    <n v="1.2572025503220199E+19"/>
    <s v="Union Comercial de Guatemala, S.A. - Banco G&amp;T Continental, S.A."/>
    <x v="0"/>
    <n v="572"/>
    <n v="25"/>
    <x v="0"/>
    <n v="191042"/>
    <d v="2022-07-01T00:00:00"/>
    <x v="0"/>
    <s v="TARJETA"/>
    <s v="GTQ"/>
    <n v="108"/>
    <m/>
    <m/>
    <m/>
    <n v="1"/>
    <n v="108"/>
    <x v="0"/>
    <m/>
    <m/>
    <m/>
    <m/>
    <m/>
    <s v="DAYANA IRASEMA SALAZAR PEREZ"/>
    <s v="system"/>
  </r>
  <r>
    <n v="1.25720255029202E+19"/>
    <s v="Union Comercial de Guatemala, S.A. - Banco G&amp;T Continental, S.A."/>
    <x v="0"/>
    <n v="572"/>
    <n v="25"/>
    <x v="0"/>
    <n v="101108"/>
    <d v="2022-07-01T00:00:00"/>
    <x v="0"/>
    <s v="TARJETA"/>
    <s v="GTQ"/>
    <n v="450"/>
    <m/>
    <m/>
    <m/>
    <n v="1"/>
    <n v="450"/>
    <x v="0"/>
    <m/>
    <m/>
    <m/>
    <m/>
    <m/>
    <s v="DAYANA IRASEMA SALAZAR PEREZ"/>
    <s v="system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d v="2022-07-01T00:00:00"/>
    <s v="CSH"/>
    <s v="12572025503620220729"/>
    <x v="0"/>
    <n v="12572"/>
    <x v="0"/>
    <n v="25"/>
    <s v="CON"/>
    <x v="0"/>
    <n v="60363214"/>
    <s v="000-000908-4"/>
    <s v="Banco Industrial, S.A."/>
    <s v="GTQ"/>
    <n v="400"/>
    <s v="28/07/2022"/>
    <n v="60363214"/>
    <s v="000-000908-4"/>
    <n v="400"/>
    <m/>
    <n v="1"/>
    <n v="400"/>
    <s v="Confirmación Automática"/>
    <s v="31/07/2022"/>
    <m/>
    <s v="DAYANA IRASEMA SALAZAR PEREZ"/>
    <s v="JUAN MANUEL MENDEZ PAZ"/>
  </r>
  <r>
    <x v="0"/>
    <d v="2022-07-01T00:00:00"/>
    <s v="CSH"/>
    <s v="12572000335420220729"/>
    <x v="0"/>
    <n v="12572"/>
    <x v="0"/>
    <n v="25"/>
    <s v="NOC"/>
    <x v="0"/>
    <n v="83734323"/>
    <s v="000-000908-4"/>
    <s v="Banco Industrial, S.A."/>
    <s v="GTQ"/>
    <n v="14409.05"/>
    <m/>
    <m/>
    <m/>
    <n v="14409.05"/>
    <m/>
    <n v="1"/>
    <n v="14409.05"/>
    <m/>
    <m/>
    <m/>
    <s v="DAYANA IRASEMA SALAZAR PEREZ"/>
    <m/>
  </r>
  <r>
    <x v="1"/>
    <d v="2022-07-01T00:00:00"/>
    <s v="CSH"/>
    <s v="12572000335420220729"/>
    <x v="0"/>
    <n v="12572"/>
    <x v="0"/>
    <n v="25"/>
    <s v="NOC"/>
    <x v="0"/>
    <n v="83734324"/>
    <s v="000-063091-3"/>
    <s v="Banco Industrial, S.A."/>
    <s v="GTQ"/>
    <n v="7579.14"/>
    <m/>
    <m/>
    <m/>
    <n v="7579.14"/>
    <m/>
    <n v="1"/>
    <n v="7579.14"/>
    <m/>
    <m/>
    <m/>
    <s v="DAYANA IRASEMA SALAZAR PEREZ"/>
    <m/>
  </r>
  <r>
    <x v="2"/>
    <d v="2022-07-01T00:00:00"/>
    <s v="CSH"/>
    <s v="12572000335420220729"/>
    <x v="0"/>
    <n v="12572"/>
    <x v="0"/>
    <n v="25"/>
    <s v="NRGL"/>
    <x v="0"/>
    <n v="8993440"/>
    <s v="066-0030603-2"/>
    <s v="Banco G&amp;T C"/>
    <s v="GTQ"/>
    <n v="521.33000000000004"/>
    <m/>
    <m/>
    <m/>
    <n v="521.33000000000004"/>
    <m/>
    <n v="1"/>
    <n v="521.33000000000004"/>
    <m/>
    <m/>
    <m/>
    <s v="DAYANA IRASEMA SALAZAR PEREZ"/>
    <m/>
  </r>
  <r>
    <x v="0"/>
    <d v="2022-07-01T00:00:00"/>
    <s v="CSH"/>
    <s v="12572025503520220729"/>
    <x v="0"/>
    <n v="12572"/>
    <x v="0"/>
    <n v="25"/>
    <s v="CON"/>
    <x v="0"/>
    <n v="103111513"/>
    <s v="3-033-36143-9"/>
    <s v="Banco de Desarrollo Rural, S.A."/>
    <s v="GTQ"/>
    <n v="221"/>
    <s v="26/07/2022"/>
    <n v="103111513"/>
    <s v="3-033-36143-9"/>
    <n v="221"/>
    <m/>
    <n v="1"/>
    <n v="221"/>
    <s v="Confirmación Automática"/>
    <s v="31/07/2022"/>
    <m/>
    <s v="DAYANA IRASEMA SALAZAR PEREZ"/>
    <s v="JUAN MANUEL MENDEZ PAZ"/>
  </r>
  <r>
    <x v="0"/>
    <d v="2022-07-01T00:00:00"/>
    <s v="CSH"/>
    <s v="12572025503820220729"/>
    <x v="0"/>
    <n v="12572"/>
    <x v="0"/>
    <n v="25"/>
    <s v="CON"/>
    <x v="0"/>
    <n v="165818296"/>
    <s v="3-033-36143-9"/>
    <s v="Banco de Desarrollo Rural, S.A."/>
    <s v="GTQ"/>
    <n v="74"/>
    <s v="28/07/2022"/>
    <n v="165818296"/>
    <s v="3-033-36143-9"/>
    <n v="74"/>
    <m/>
    <n v="1"/>
    <n v="74"/>
    <s v="Confirmación Automática"/>
    <s v="31/07/2022"/>
    <m/>
    <s v="DAYANA IRASEMA SALAZAR PEREZ"/>
    <s v="JUAN MANUEL MENDEZ PAZ"/>
  </r>
  <r>
    <x v="0"/>
    <d v="2022-07-01T00:00:00"/>
    <s v="CSH"/>
    <s v="12572025503320220729"/>
    <x v="0"/>
    <n v="12572"/>
    <x v="0"/>
    <n v="25"/>
    <s v="CON"/>
    <x v="0"/>
    <n v="85433526"/>
    <s v="3-033-36143-9"/>
    <s v="Banco de Desarrollo Rural, S.A."/>
    <s v="GTQ"/>
    <n v="767"/>
    <s v="20/07/2022"/>
    <n v="85433526"/>
    <s v="3-033-36143-9"/>
    <n v="767"/>
    <m/>
    <n v="1"/>
    <n v="767"/>
    <s v="Confirmación Automática"/>
    <s v="31/07/2022"/>
    <m/>
    <s v="DAYANA IRASEMA SALAZAR PEREZ"/>
    <s v="JUAN MANUEL MENDEZ PAZ"/>
  </r>
  <r>
    <x v="0"/>
    <d v="2022-07-01T00:00:00"/>
    <s v="CSH"/>
    <s v="12572025503920220729"/>
    <x v="0"/>
    <n v="12572"/>
    <x v="0"/>
    <n v="25"/>
    <s v="CON"/>
    <x v="0"/>
    <n v="101545580"/>
    <s v="3-033-36143-9"/>
    <s v="Banco de Desarrollo Rural, S.A."/>
    <s v="GTQ"/>
    <n v="802.4"/>
    <s v="29/07/2022"/>
    <n v="101545580"/>
    <s v="3-033-36143-9"/>
    <n v="804"/>
    <n v="1.6"/>
    <n v="1"/>
    <n v="802.4"/>
    <s v="Diferencia en Caja "/>
    <s v="31/07/2022"/>
    <m/>
    <s v="DAYANA IRASEMA SALAZAR PEREZ"/>
    <s v="JUAN MANUEL MENDEZ PAZ"/>
  </r>
  <r>
    <x v="0"/>
    <d v="2022-07-01T00:00:00"/>
    <s v="CSH"/>
    <s v="12572025503420220729"/>
    <x v="0"/>
    <n v="12572"/>
    <x v="0"/>
    <n v="25"/>
    <s v="CON"/>
    <x v="0"/>
    <n v="134427240"/>
    <s v="3-033-36143-9"/>
    <s v="Banco de Desarrollo Rural, S.A."/>
    <s v="GTQ"/>
    <n v="615.21"/>
    <s v="26/07/2022"/>
    <n v="134427240"/>
    <s v="3-033-36143-9"/>
    <n v="616"/>
    <n v="0.79"/>
    <n v="1"/>
    <n v="615.21"/>
    <s v="Diferencia en Caja "/>
    <s v="31/07/2022"/>
    <m/>
    <s v="DAYANA IRASEMA SALAZAR PEREZ"/>
    <s v="JUAN MANUEL MENDEZ PAZ"/>
  </r>
  <r>
    <x v="0"/>
    <d v="2022-07-01T00:00:00"/>
    <s v="CSH"/>
    <s v="12572025503720220729"/>
    <x v="0"/>
    <n v="12572"/>
    <x v="0"/>
    <n v="25"/>
    <s v="CON"/>
    <x v="0"/>
    <n v="102936106"/>
    <n v="701720175"/>
    <s v="Banco de America Central, S.A."/>
    <s v="GTQ"/>
    <n v="667"/>
    <s v="29/07/2022"/>
    <n v="102936106"/>
    <s v="3-033-36143-9"/>
    <n v="667"/>
    <m/>
    <n v="1"/>
    <n v="667"/>
    <s v="Diferencia al seleccionar cuenta bancaria."/>
    <d v="2022-01-08T00:00:00"/>
    <m/>
    <s v="DAYANA IRASEMA SALAZAR PEREZ"/>
    <s v="JUAN MANUEL MENDEZ PAZ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s v="LA CURACAO"/>
    <x v="0"/>
    <x v="0"/>
    <n v="25"/>
    <x v="0"/>
    <n v="5027"/>
    <s v="12572025502720220729"/>
    <m/>
    <m/>
    <s v="CC2EACB6829113570"/>
    <m/>
    <s v="Factura Consumidor Final"/>
    <x v="0"/>
    <x v="0"/>
    <x v="0"/>
    <n v="247"/>
    <s v="125722182200PW"/>
    <s v=""/>
    <s v="CARLOS EDUARDO GARCIA RAYMUNDO"/>
    <m/>
    <m/>
    <m/>
  </r>
  <r>
    <s v="LA CURACAO"/>
    <x v="0"/>
    <x v="0"/>
    <n v="25"/>
    <x v="0"/>
    <n v="5018"/>
    <s v="12572025501820220729"/>
    <m/>
    <m/>
    <s v="BC6E45933453635664"/>
    <m/>
    <s v="Factura Consumidor Final"/>
    <x v="0"/>
    <x v="0"/>
    <x v="0"/>
    <n v="47.2"/>
    <s v="125722182200PT"/>
    <s v=""/>
    <s v="MIGUEL ANGEL RAMIREZ RAMOS"/>
    <m/>
    <m/>
    <m/>
  </r>
  <r>
    <s v="LA CURACAO"/>
    <x v="0"/>
    <x v="0"/>
    <n v="25"/>
    <x v="0"/>
    <n v="5015"/>
    <s v="12572025501520220729"/>
    <m/>
    <m/>
    <s v="F70FF9E6745621084"/>
    <m/>
    <s v="Factura Consumidor Final"/>
    <x v="0"/>
    <x v="0"/>
    <x v="0"/>
    <n v="1456"/>
    <s v="125722472200KV"/>
    <s v=""/>
    <s v="HECTOR  DE JESUS  RAMOS  "/>
    <m/>
    <m/>
    <m/>
  </r>
  <r>
    <s v="LA CURACAO"/>
    <x v="0"/>
    <x v="0"/>
    <n v="25"/>
    <x v="0"/>
    <n v="5012"/>
    <s v="12572025501220220729"/>
    <m/>
    <m/>
    <s v="ED0B23673372174941"/>
    <m/>
    <s v="Factura Consumidor Final"/>
    <x v="0"/>
    <x v="0"/>
    <x v="0"/>
    <n v="5797"/>
    <s v="125722462200H4"/>
    <s v=""/>
    <s v="MIGUEL   RIVERA GARCIA 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B81F2C-D5F5-4ACF-A76D-DD03242640ED}" name="Tbl Dinamica Tarjetas" cacheId="1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C8" firstHeaderRow="1" firstDataRow="2" firstDataCol="1"/>
  <pivotFields count="25"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numFmtId="17"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3">
    <field x="2"/>
    <field x="5"/>
    <field x="8"/>
  </rowFields>
  <rowItems count="4">
    <i>
      <x/>
    </i>
    <i r="1">
      <x/>
    </i>
    <i r="2">
      <x/>
    </i>
    <i t="grand">
      <x/>
    </i>
  </rowItems>
  <colFields count="1">
    <field x="17"/>
  </colFields>
  <colItems count="2">
    <i>
      <x/>
    </i>
    <i t="grand">
      <x/>
    </i>
  </colItems>
  <dataFields count="1">
    <dataField name="Suma de MONTO" fld="11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F4CC34-7178-4BD6-8214-813C07364667}" name="Tbl Dinamica Depositos" cacheId="11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E8" firstHeaderRow="1" firstDataRow="2" firstDataCol="1"/>
  <pivotFields count="27">
    <pivotField axis="axisCol" showAll="0">
      <items count="4">
        <item x="2"/>
        <item x="1"/>
        <item x="0"/>
        <item t="default"/>
      </items>
    </pivotField>
    <pivotField numFmtId="17" showAll="0"/>
    <pivotField showAll="0"/>
    <pivotField showAll="0"/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4"/>
    <field x="6"/>
    <field x="9"/>
  </rowFields>
  <rowItems count="4">
    <i>
      <x/>
    </i>
    <i r="1">
      <x/>
    </i>
    <i r="2">
      <x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Suma de Monto" fld="14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1F3B0-C4DC-42AB-AE22-B9E133C4BA99}" name="Tbl Dinamica Transaccional" cacheId="12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A3:G10" firstHeaderRow="1" firstDataRow="2" firstDataCol="5"/>
  <pivotFields count="2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12"/>
    <field x="14"/>
  </rowFields>
  <rowItems count="6">
    <i>
      <x/>
      <x/>
      <x/>
      <x/>
      <x/>
    </i>
    <i t="default" r="3">
      <x/>
    </i>
    <i t="default" r="2">
      <x/>
    </i>
    <i t="default" r="1">
      <x/>
    </i>
    <i t="default">
      <x/>
    </i>
    <i t="grand">
      <x/>
    </i>
  </rowItems>
  <colFields count="1">
    <field x="13"/>
  </colFields>
  <colItems count="2">
    <i>
      <x/>
    </i>
    <i t="grand">
      <x/>
    </i>
  </colItems>
  <dataFields count="1">
    <dataField name="Suma de MONTO" fld="15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9BF5E9-B58D-4DB1-8A2A-58B5FC5ABD28}" name="Tabla4" displayName="Tabla4" ref="A1:R7" totalsRowShown="0">
  <autoFilter ref="A1:R7" xr:uid="{6F9BF5E9-B58D-4DB1-8A2A-58B5FC5ABD28}"/>
  <tableColumns count="18">
    <tableColumn id="1" xr3:uid="{4F288777-A19A-489A-8BE6-3F713D8A31C9}" name="TIENDA"/>
    <tableColumn id="2" xr3:uid="{01092A7B-D347-4DEA-927C-7AC584FB23A3}" name="CDA"/>
    <tableColumn id="3" xr3:uid="{79D35669-27EA-4619-B192-45ECE21C94CF}" name="FECHA TRANSACCION"/>
    <tableColumn id="4" xr3:uid="{B24408BA-EB8A-4900-9EF9-9BD62E047D0C}" name="TRANSACCIONES CAJA"/>
    <tableColumn id="5" xr3:uid="{C759A084-0ABC-4431-B984-455ADA1D5474}" name="CODIGO DE RAZON"/>
    <tableColumn id="6" xr3:uid="{D14FA826-2C7C-46AC-9E5C-D0A1DB61E349}" name="Efectivo"/>
    <tableColumn id="7" xr3:uid="{DA4F55CA-EE56-43DB-9DDA-3A6C8C4E9807}" name="Total general"/>
    <tableColumn id="8" xr3:uid="{EA742E32-8109-4EE1-A8F7-D80632B3F23A}" name="CIA"/>
    <tableColumn id="9" xr3:uid="{5A4FB3FA-4761-4A09-BD0F-B9FFE0E10DAE}" name="INHOUSE DEP-TC"/>
    <tableColumn id="10" xr3:uid="{623E5C82-EE32-4490-889E-94BE56F16809}" name="INGRESOS CORTE DE CAJA"/>
    <tableColumn id="11" xr3:uid="{4268BBFC-C857-428A-A655-5B851F821C49}" name="CIERRE P.O.S."/>
    <tableColumn id="12" xr3:uid="{E1161639-51A8-4A98-BA6D-6A268EEC1213}" name="VENTAS TC INTERNET"/>
    <tableColumn id="13" xr3:uid="{39232E72-37F2-4C09-8A49-742288C6E892}" name="VISALINK"/>
    <tableColumn id="14" xr3:uid="{906C9324-B7D1-4772-8DD9-C7B3158E40F0}" name="TRASLADOS"/>
    <tableColumn id="15" xr3:uid="{5528B87D-19BD-451B-95C3-8F89FFE8AD86}" name="DIFERENCIA"/>
    <tableColumn id="16" xr3:uid="{A70B78D6-5732-473D-828A-6CCC52F453F4}" name="OBSERVACIÓN"/>
    <tableColumn id="17" xr3:uid="{E7BF394E-CA58-42AA-8DF5-E20881D3174D}" name="Columna1"/>
    <tableColumn id="18" xr3:uid="{C60DFEEE-34C8-4E1B-B7BA-EA459045572A}" name="Columna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DFF475-FB9C-44C3-AEB1-86AD794492C7}" name="Tabla1" displayName="Tabla1" ref="A1:Y4" totalsRowShown="0" headerRowDxfId="11" headerRowBorderDxfId="10" tableBorderDxfId="9">
  <autoFilter ref="A1:Y4" xr:uid="{C1DFF475-FB9C-44C3-AEB1-86AD794492C7}"/>
  <tableColumns count="25">
    <tableColumn id="1" xr3:uid="{D5B4BECF-F7CB-4F1C-A82C-F1D4FB8A690E}" name="NÚMERO TRANSACCION"/>
    <tableColumn id="2" xr3:uid="{6F77DFD1-9268-4CC8-B9EF-503E59162669}" name="DESC CUENTA"/>
    <tableColumn id="3" xr3:uid="{510F0A3F-E45A-46DB-97B8-4CFC3BA99649}" name="CENTRO ANALISIS"/>
    <tableColumn id="4" xr3:uid="{5580C1D8-27D2-4D99-9B6D-A32095DAC2C8}" name="RI"/>
    <tableColumn id="5" xr3:uid="{8DB5FBEB-3098-4E04-B818-92F1C3D59EB7}" name="NO CAJA"/>
    <tableColumn id="6" xr3:uid="{87B72D3C-8B94-4070-BB71-378B2F6A1EA8}" name="DESC ALMACEN"/>
    <tableColumn id="7" xr3:uid="{AD56802B-E55F-4A0F-97AD-96A9B9559784}" name="REFERENCIA"/>
    <tableColumn id="8" xr3:uid="{17160934-36D1-41B3-BD7E-BC8DCA05CA3A}" name="PERIODO CONTABLE" dataDxfId="8"/>
    <tableColumn id="9" xr3:uid="{9E65D689-42CB-4C71-8376-8103F668BED5}" name="FECHA AUTORIZACIÓN"/>
    <tableColumn id="10" xr3:uid="{912DBA97-83B0-4D1B-AD60-159E595C0529}" name="TIPO PROMOCIÓN"/>
    <tableColumn id="11" xr3:uid="{BECC266D-287F-4B42-8568-9ED6EDAEDB94}" name="MONEDA"/>
    <tableColumn id="12" xr3:uid="{D2ADE4E4-F5B2-4D5A-B0C4-A3681CD7959E}" name="MONTO"/>
    <tableColumn id="13" xr3:uid="{E5A76DE5-7129-44D8-B835-E5F459B8C824}" name="NUMERO CONFIRMADO"/>
    <tableColumn id="14" xr3:uid="{7F6CEE88-B157-40B7-8BE9-EDAFBB68C47D}" name="Monto Confirmado"/>
    <tableColumn id="15" xr3:uid="{F536F152-F2A1-4175-B720-D0EBE12D2D33}" name="Diferencia"/>
    <tableColumn id="16" xr3:uid="{60B22212-E5B7-4524-A625-03C38836DCC2}" name="TASA DE CAMBIO"/>
    <tableColumn id="17" xr3:uid="{DBD61E6B-1964-42E2-B1F7-7FCF6FA605F4}" name="MONTO MNL"/>
    <tableColumn id="18" xr3:uid="{7DC3F375-EF5A-49F3-B9D8-6ACAEDE5AC14}" name="ESTADO"/>
    <tableColumn id="19" xr3:uid="{DCE47ECC-2FDA-4CD7-8546-D6D810F9899E}" name="FECHA BANCO"/>
    <tableColumn id="20" xr3:uid="{44955B19-A102-4EDF-AF06-B000A957B670}" name="NÚMERO DE DEPOSITO"/>
    <tableColumn id="21" xr3:uid="{C4E3B1C7-976B-4489-AECC-1FF408E2A0CF}" name="NÚMERO CCF"/>
    <tableColumn id="22" xr3:uid="{FF386044-73AC-432D-8E2A-E792B72A3ED3}" name="FECHA CONFIRMACION"/>
    <tableColumn id="23" xr3:uid="{5A42969C-C5D5-41FE-BF7C-6B0D42C5A3D9}" name="FECHA CONTABLE"/>
    <tableColumn id="24" xr3:uid="{D95816E6-CFD6-46C9-9FE7-0FC23018C813}" name="EMPLEADO"/>
    <tableColumn id="25" xr3:uid="{D43862A4-7594-4A79-AD83-61FAF23AEDFD}" name="ACTUALIZADO POR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2AA094-E006-468F-958F-1FC6E4B2B939}" name="Tabla2" displayName="Tabla2" ref="A1:AA11" totalsRowShown="0" headerRowDxfId="7" headerRowBorderDxfId="6" tableBorderDxfId="5">
  <autoFilter ref="A1:AA11" xr:uid="{E02AA094-E006-468F-958F-1FC6E4B2B939}"/>
  <tableColumns count="27">
    <tableColumn id="1" xr3:uid="{77C23052-FAF4-41A0-B484-8546900351CE}" name="Compañia"/>
    <tableColumn id="2" xr3:uid="{2D882AB2-EFA4-44A2-8022-CB9FAF51DCA6}" name="Período" dataDxfId="4"/>
    <tableColumn id="3" xr3:uid="{CC8B4B21-44A8-4CF7-A3A1-B55C3CD0F024}" name="Tipo"/>
    <tableColumn id="4" xr3:uid="{50CE2EA9-7211-4CA1-BBB4-5D60B5A49A4C}" name="Número Transacción"/>
    <tableColumn id="5" xr3:uid="{78134FA7-F1B9-4D92-8B01-9091BA24AFD7}" name="Centro Analisis"/>
    <tableColumn id="6" xr3:uid="{58330F81-5065-4A56-AD98-B0D087D471B2}" name="Tienda"/>
    <tableColumn id="7" xr3:uid="{15207D9C-F686-4B4D-BD36-DACF1A0171AA}" name="Desc Almacen"/>
    <tableColumn id="8" xr3:uid="{80D9049C-8711-45A2-B09F-C4030326F1FB}" name="Caja"/>
    <tableColumn id="9" xr3:uid="{BBFE69E9-7F86-49FD-89D2-231C6CB079F4}" name="Estado"/>
    <tableColumn id="10" xr3:uid="{9630FE71-864E-4C89-9EA1-6B28F1DAC8C7}" name="Fecha deposito"/>
    <tableColumn id="11" xr3:uid="{45F2416A-42CA-47AD-AE8B-18030A8A8836}" name="Numero Deposito"/>
    <tableColumn id="12" xr3:uid="{CA50C89B-0970-48D6-B92A-B7A097D27FE4}" name="Numero Cuenta"/>
    <tableColumn id="13" xr3:uid="{2EC0E8C1-E7B9-4552-A6A3-D66F527C2A1F}" name="Desc Cuenta"/>
    <tableColumn id="14" xr3:uid="{457E672E-F092-453E-A328-0CA0D259B7DE}" name="Moneda"/>
    <tableColumn id="15" xr3:uid="{5AB46B00-11DF-4D5D-9B88-235F852AE547}" name="Monto"/>
    <tableColumn id="16" xr3:uid="{861C91C6-5D6A-4EDF-8538-A5A4DAEB93F3}" name="Fecha Banco"/>
    <tableColumn id="17" xr3:uid="{C4E01B0C-5EA2-4FE5-A09E-1A5D9CAFDD82}" name="Número Déposito Confirmado"/>
    <tableColumn id="18" xr3:uid="{33B92961-7F19-42C1-9861-9D2C20A22435}" name="Número Cuenta Confirmada"/>
    <tableColumn id="19" xr3:uid="{64CA7D77-7B3A-4E39-99B7-0CB807392F73}" name="Monto Confirmado"/>
    <tableColumn id="20" xr3:uid="{E721B431-1228-47E3-AAD2-3D3709FC266E}" name="Diferencia"/>
    <tableColumn id="21" xr3:uid="{EA6D62A5-60C8-4548-996B-AECEC2EE4D55}" name="Tasa de Cambio"/>
    <tableColumn id="22" xr3:uid="{1B11B6C8-9874-4737-9203-80640CC69FE5}" name="Monto MNL"/>
    <tableColumn id="23" xr3:uid="{69BDD34E-DC32-4F48-A4F4-49893E44C949}" name="Motivo"/>
    <tableColumn id="24" xr3:uid="{667A0C81-2BA3-4774-B9D2-816C4700FE08}" name="Fecha confirmacion"/>
    <tableColumn id="25" xr3:uid="{6A39E106-981B-4DCD-8E6E-CD0353D8F87A}" name="Fecha Contabilización"/>
    <tableColumn id="26" xr3:uid="{7EADE300-B78B-42BB-8289-325276B0C6A4}" name="Empleado"/>
    <tableColumn id="27" xr3:uid="{A641F508-41BD-4499-B8CD-89E9EB2FAE90}" name="Actualizado por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157EF5-DD7D-4476-B3E6-EB42306B4778}" name="Tabla3" displayName="Tabla3" ref="A1:V5" totalsRowShown="0" headerRowDxfId="3" headerRowBorderDxfId="2" tableBorderDxfId="1">
  <autoFilter ref="A1:V5" xr:uid="{10157EF5-DD7D-4476-B3E6-EB42306B4778}"/>
  <tableColumns count="22">
    <tableColumn id="1" xr3:uid="{E31FFE72-E17A-45B7-B21E-2A4330561415}" name="CADENA"/>
    <tableColumn id="2" xr3:uid="{873B3C2E-7109-499C-A2BC-261C639B67AC}" name="TIENDA"/>
    <tableColumn id="3" xr3:uid="{9A6E112D-3CE7-49B8-B7B7-02FC80FA5085}" name="CDA"/>
    <tableColumn id="4" xr3:uid="{7FF9A700-CAAC-4E81-9C4F-586293A07CBD}" name="CAJA"/>
    <tableColumn id="5" xr3:uid="{167AD3F2-0540-4FF3-A9CF-12DEE6094528}" name="FECHA TRANSACCION" dataDxfId="0"/>
    <tableColumn id="6" xr3:uid="{AEB62A3E-573D-4E11-9E4B-6C478DD2CDB1}" name="CORRELATIVO CAJA"/>
    <tableColumn id="7" xr3:uid="{FD0DEA84-6505-44CD-9030-64111F185735}" name="No. TRANSACCION"/>
    <tableColumn id="8" xr3:uid="{65E40BAD-5A14-4B07-B35D-14456B1D93B9}" name="TRANSACCION ORIGINAL (Devolución)"/>
    <tableColumn id="9" xr3:uid="{A9BFC6DB-C162-4854-B964-06E065F6A337}" name="TRANSACCIÓN CAJA ORIGINAL(Devolución)"/>
    <tableColumn id="10" xr3:uid="{696E929A-2F3D-4893-A4BD-A98B84F46636}" name="No. DOCUMENTO"/>
    <tableColumn id="11" xr3:uid="{3E17D575-80F5-432B-9ABB-0B92614B183C}" name="NUMERO DE SOLICITUD"/>
    <tableColumn id="12" xr3:uid="{486B4419-E904-421D-BC31-EBF0D4933AD1}" name="TIPO DOCUMENTO"/>
    <tableColumn id="13" xr3:uid="{28008AB3-1102-44D1-B1E5-3733D70D8701}" name="TRANSACCIONES CAJA"/>
    <tableColumn id="14" xr3:uid="{091CD573-041D-4147-AF04-B3D606AD6128}" name="FORMA DE PAGO"/>
    <tableColumn id="15" xr3:uid="{DAE83BD8-D64D-4EC2-8547-5C2EFA40C838}" name="CODIGO DE RAZON"/>
    <tableColumn id="16" xr3:uid="{7F4571A9-F3EF-4F59-8603-7266F9CAFE69}" name="MONTO"/>
    <tableColumn id="17" xr3:uid="{77B706C9-EA41-481F-A4A0-6D0A6221A3D4}" name="NUM_COTIZACON"/>
    <tableColumn id="18" xr3:uid="{713D71B2-FCA1-473E-92FC-8BD922AF8A25}" name="NUM_CUENTA"/>
    <tableColumn id="19" xr3:uid="{7F646836-D110-46C5-A725-8842C9466E28}" name="NOMBRE_CLIENTE"/>
    <tableColumn id="20" xr3:uid="{3E579267-A2E2-42CD-A50E-CD0A835F68A8}" name="BANCO"/>
    <tableColumn id="21" xr3:uid="{F385462E-8EA8-4CAA-863C-959B28F38175}" name="AUTORIZACION"/>
    <tableColumn id="22" xr3:uid="{095F292A-F973-4302-AD67-52B54C4A1DBE}" name="PROMOCIO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9AD7-6B5D-4CFE-919D-F766F5F1A1DA}">
  <sheetPr codeName="Hoja2"/>
  <dimension ref="A1:R7"/>
  <sheetViews>
    <sheetView tabSelected="1" workbookViewId="0">
      <selection sqref="A1:R7"/>
    </sheetView>
  </sheetViews>
  <sheetFormatPr baseColWidth="10" defaultRowHeight="15" x14ac:dyDescent="0.25"/>
  <cols>
    <col min="3" max="3" width="22.140625" customWidth="1"/>
    <col min="4" max="4" width="22.85546875" customWidth="1"/>
    <col min="5" max="5" width="19.85546875" customWidth="1"/>
    <col min="7" max="7" width="14.7109375" customWidth="1"/>
    <col min="9" max="9" width="18" customWidth="1"/>
    <col min="10" max="10" width="25.85546875" customWidth="1"/>
    <col min="11" max="11" width="14.85546875" customWidth="1"/>
    <col min="12" max="12" width="21.7109375" customWidth="1"/>
    <col min="14" max="14" width="13.42578125" customWidth="1"/>
    <col min="15" max="15" width="13.5703125" customWidth="1"/>
    <col min="16" max="16" width="16" customWidth="1"/>
    <col min="17" max="18" width="12" customWidth="1"/>
  </cols>
  <sheetData>
    <row r="1" spans="1:18" x14ac:dyDescent="0.25">
      <c r="A1" t="s">
        <v>51</v>
      </c>
      <c r="B1" t="s">
        <v>52</v>
      </c>
      <c r="C1" t="s">
        <v>54</v>
      </c>
      <c r="D1" t="s">
        <v>62</v>
      </c>
      <c r="E1" t="s">
        <v>64</v>
      </c>
      <c r="F1" t="s">
        <v>120</v>
      </c>
      <c r="G1" t="s">
        <v>80</v>
      </c>
      <c r="H1" t="s">
        <v>141</v>
      </c>
      <c r="I1" t="s">
        <v>142</v>
      </c>
      <c r="J1" t="s">
        <v>143</v>
      </c>
      <c r="K1" t="s">
        <v>144</v>
      </c>
      <c r="L1" t="s">
        <v>145</v>
      </c>
      <c r="M1" t="s">
        <v>146</v>
      </c>
      <c r="N1" t="s">
        <v>147</v>
      </c>
      <c r="O1" t="s">
        <v>148</v>
      </c>
      <c r="P1" t="s">
        <v>149</v>
      </c>
      <c r="Q1" t="s">
        <v>152</v>
      </c>
      <c r="R1" t="s">
        <v>153</v>
      </c>
    </row>
    <row r="2" spans="1:18" x14ac:dyDescent="0.25">
      <c r="A2" t="s">
        <v>115</v>
      </c>
      <c r="B2">
        <v>50252</v>
      </c>
      <c r="C2" s="9">
        <v>44771</v>
      </c>
      <c r="D2" t="s">
        <v>119</v>
      </c>
      <c r="E2" t="s">
        <v>136</v>
      </c>
      <c r="F2">
        <v>7547.2</v>
      </c>
      <c r="G2">
        <v>7547.2</v>
      </c>
      <c r="H2" t="s">
        <v>83</v>
      </c>
    </row>
    <row r="3" spans="1:18" x14ac:dyDescent="0.25">
      <c r="A3" t="s">
        <v>115</v>
      </c>
      <c r="B3">
        <v>50252</v>
      </c>
      <c r="C3" s="9">
        <v>44771</v>
      </c>
      <c r="D3" t="s">
        <v>137</v>
      </c>
      <c r="F3">
        <v>7547.2</v>
      </c>
      <c r="G3">
        <v>7547.2</v>
      </c>
      <c r="H3" t="s">
        <v>150</v>
      </c>
    </row>
    <row r="4" spans="1:18" x14ac:dyDescent="0.25">
      <c r="A4" t="s">
        <v>115</v>
      </c>
      <c r="B4">
        <v>50252</v>
      </c>
      <c r="C4" t="s">
        <v>138</v>
      </c>
      <c r="F4">
        <v>7547.2</v>
      </c>
      <c r="G4">
        <v>7547.2</v>
      </c>
      <c r="H4" t="s">
        <v>94</v>
      </c>
    </row>
    <row r="5" spans="1:18" x14ac:dyDescent="0.25">
      <c r="A5" t="s">
        <v>115</v>
      </c>
      <c r="B5" t="s">
        <v>139</v>
      </c>
      <c r="F5">
        <v>7547.2</v>
      </c>
      <c r="G5">
        <v>7547.2</v>
      </c>
      <c r="H5" t="s">
        <v>83</v>
      </c>
    </row>
    <row r="6" spans="1:18" x14ac:dyDescent="0.25">
      <c r="A6" t="s">
        <v>140</v>
      </c>
      <c r="F6">
        <v>7547.2</v>
      </c>
      <c r="G6">
        <v>7547.2</v>
      </c>
      <c r="H6" t="s">
        <v>150</v>
      </c>
    </row>
    <row r="7" spans="1:18" x14ac:dyDescent="0.25">
      <c r="A7" t="s">
        <v>80</v>
      </c>
      <c r="F7">
        <v>7547.2</v>
      </c>
      <c r="G7">
        <v>7547.2</v>
      </c>
      <c r="H7" t="s">
        <v>151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60BB3-D660-4CCE-B57D-31E6BD7BF919}">
  <dimension ref="A3:C8"/>
  <sheetViews>
    <sheetView workbookViewId="0"/>
  </sheetViews>
  <sheetFormatPr baseColWidth="10" defaultRowHeight="15" x14ac:dyDescent="0.25"/>
  <cols>
    <col min="1" max="1" width="24.28515625" bestFit="1" customWidth="1"/>
    <col min="2" max="2" width="22.42578125" bestFit="1" customWidth="1"/>
    <col min="3" max="3" width="12.5703125" bestFit="1" customWidth="1"/>
  </cols>
  <sheetData>
    <row r="3" spans="1:3" x14ac:dyDescent="0.25">
      <c r="A3" s="3" t="s">
        <v>82</v>
      </c>
      <c r="B3" s="3" t="s">
        <v>79</v>
      </c>
    </row>
    <row r="4" spans="1:3" x14ac:dyDescent="0.25">
      <c r="A4" s="3" t="s">
        <v>81</v>
      </c>
      <c r="B4" t="s">
        <v>76</v>
      </c>
      <c r="C4" t="s">
        <v>80</v>
      </c>
    </row>
    <row r="5" spans="1:3" x14ac:dyDescent="0.25">
      <c r="A5" s="4">
        <v>50252</v>
      </c>
      <c r="B5" s="7">
        <v>769</v>
      </c>
      <c r="C5" s="7">
        <v>769</v>
      </c>
    </row>
    <row r="6" spans="1:3" x14ac:dyDescent="0.25">
      <c r="A6" s="5" t="s">
        <v>72</v>
      </c>
      <c r="B6" s="7">
        <v>769</v>
      </c>
      <c r="C6" s="7">
        <v>769</v>
      </c>
    </row>
    <row r="7" spans="1:3" x14ac:dyDescent="0.25">
      <c r="A7" s="6" t="s">
        <v>73</v>
      </c>
      <c r="B7" s="7">
        <v>769</v>
      </c>
      <c r="C7" s="7">
        <v>769</v>
      </c>
    </row>
    <row r="8" spans="1:3" x14ac:dyDescent="0.25">
      <c r="A8" s="4" t="s">
        <v>80</v>
      </c>
      <c r="B8" s="7">
        <v>769</v>
      </c>
      <c r="C8" s="7">
        <v>769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4"/>
  <sheetViews>
    <sheetView workbookViewId="0">
      <selection sqref="A1:Y4"/>
    </sheetView>
  </sheetViews>
  <sheetFormatPr baseColWidth="10" defaultColWidth="9.140625" defaultRowHeight="15" x14ac:dyDescent="0.25"/>
  <cols>
    <col min="1" max="1" width="23.42578125" customWidth="1"/>
    <col min="2" max="2" width="15.5703125" customWidth="1"/>
    <col min="3" max="3" width="18.5703125" customWidth="1"/>
    <col min="4" max="4" width="12" customWidth="1"/>
    <col min="5" max="5" width="11" customWidth="1"/>
    <col min="6" max="6" width="17.140625" customWidth="1"/>
    <col min="7" max="7" width="13.42578125" customWidth="1"/>
    <col min="8" max="8" width="20.5703125" customWidth="1"/>
    <col min="9" max="9" width="22.7109375" customWidth="1"/>
    <col min="10" max="10" width="18.42578125" customWidth="1"/>
    <col min="11" max="11" width="10.85546875" customWidth="1"/>
    <col min="12" max="12" width="9.7109375" customWidth="1"/>
    <col min="13" max="13" width="23" customWidth="1"/>
    <col min="14" max="14" width="18.5703125" customWidth="1"/>
    <col min="15" max="15" width="11.85546875" customWidth="1"/>
    <col min="16" max="16" width="18" customWidth="1"/>
    <col min="17" max="17" width="14.5703125" customWidth="1"/>
    <col min="18" max="18" width="10" customWidth="1"/>
    <col min="19" max="19" width="15.7109375" customWidth="1"/>
    <col min="20" max="20" width="22.5703125" customWidth="1"/>
    <col min="21" max="21" width="15.5703125" customWidth="1"/>
    <col min="22" max="22" width="23" customWidth="1"/>
    <col min="23" max="23" width="18.5703125" customWidth="1"/>
    <col min="24" max="24" width="18.28515625" customWidth="1"/>
    <col min="25" max="25" width="19.5703125" customWidth="1"/>
  </cols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</row>
    <row r="2" spans="1:25" x14ac:dyDescent="0.25">
      <c r="A2">
        <v>1.2572025500220201E+19</v>
      </c>
      <c r="B2" t="s">
        <v>71</v>
      </c>
      <c r="C2">
        <v>50252</v>
      </c>
      <c r="D2">
        <v>572</v>
      </c>
      <c r="E2">
        <v>25</v>
      </c>
      <c r="F2" t="s">
        <v>72</v>
      </c>
      <c r="G2">
        <v>659429</v>
      </c>
      <c r="H2" s="1">
        <v>44743</v>
      </c>
      <c r="I2" t="s">
        <v>73</v>
      </c>
      <c r="J2" t="s">
        <v>74</v>
      </c>
      <c r="K2" t="s">
        <v>75</v>
      </c>
      <c r="L2">
        <v>211</v>
      </c>
      <c r="P2">
        <v>1</v>
      </c>
      <c r="Q2">
        <v>211</v>
      </c>
      <c r="R2" t="s">
        <v>76</v>
      </c>
      <c r="X2" t="s">
        <v>77</v>
      </c>
      <c r="Y2" t="s">
        <v>78</v>
      </c>
    </row>
    <row r="3" spans="1:25" x14ac:dyDescent="0.25">
      <c r="A3">
        <v>1.2572025503220199E+19</v>
      </c>
      <c r="B3" t="s">
        <v>71</v>
      </c>
      <c r="C3">
        <v>50252</v>
      </c>
      <c r="D3">
        <v>572</v>
      </c>
      <c r="E3">
        <v>25</v>
      </c>
      <c r="F3" t="s">
        <v>72</v>
      </c>
      <c r="G3">
        <v>191042</v>
      </c>
      <c r="H3" s="1">
        <v>44743</v>
      </c>
      <c r="I3" t="s">
        <v>73</v>
      </c>
      <c r="J3" t="s">
        <v>74</v>
      </c>
      <c r="K3" t="s">
        <v>75</v>
      </c>
      <c r="L3">
        <v>108</v>
      </c>
      <c r="P3">
        <v>1</v>
      </c>
      <c r="Q3">
        <v>108</v>
      </c>
      <c r="R3" t="s">
        <v>76</v>
      </c>
      <c r="X3" t="s">
        <v>77</v>
      </c>
      <c r="Y3" t="s">
        <v>78</v>
      </c>
    </row>
    <row r="4" spans="1:25" x14ac:dyDescent="0.25">
      <c r="A4">
        <v>1.25720255029202E+19</v>
      </c>
      <c r="B4" t="s">
        <v>71</v>
      </c>
      <c r="C4">
        <v>50252</v>
      </c>
      <c r="D4">
        <v>572</v>
      </c>
      <c r="E4">
        <v>25</v>
      </c>
      <c r="F4" t="s">
        <v>72</v>
      </c>
      <c r="G4">
        <v>101108</v>
      </c>
      <c r="H4" s="1">
        <v>44743</v>
      </c>
      <c r="I4" t="s">
        <v>73</v>
      </c>
      <c r="J4" t="s">
        <v>74</v>
      </c>
      <c r="K4" t="s">
        <v>75</v>
      </c>
      <c r="L4">
        <v>450</v>
      </c>
      <c r="P4">
        <v>1</v>
      </c>
      <c r="Q4">
        <v>450</v>
      </c>
      <c r="R4" t="s">
        <v>76</v>
      </c>
      <c r="X4" t="s">
        <v>77</v>
      </c>
      <c r="Y4" t="s">
        <v>78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F1477-6F57-48B5-A458-4F0D4BD6EAA8}">
  <dimension ref="A3:E8"/>
  <sheetViews>
    <sheetView workbookViewId="0"/>
  </sheetViews>
  <sheetFormatPr baseColWidth="10" defaultRowHeight="15" x14ac:dyDescent="0.25"/>
  <cols>
    <col min="1" max="1" width="24.28515625" bestFit="1" customWidth="1"/>
    <col min="2" max="2" width="27.5703125" bestFit="1" customWidth="1"/>
    <col min="3" max="3" width="11" bestFit="1" customWidth="1"/>
    <col min="4" max="4" width="12" bestFit="1" customWidth="1"/>
    <col min="5" max="5" width="12.5703125" bestFit="1" customWidth="1"/>
  </cols>
  <sheetData>
    <row r="3" spans="1:5" x14ac:dyDescent="0.25">
      <c r="A3" s="3" t="s">
        <v>113</v>
      </c>
      <c r="B3" s="3" t="s">
        <v>79</v>
      </c>
    </row>
    <row r="4" spans="1:5" x14ac:dyDescent="0.25">
      <c r="A4" s="3" t="s">
        <v>81</v>
      </c>
      <c r="B4" t="s">
        <v>96</v>
      </c>
      <c r="C4" t="s">
        <v>94</v>
      </c>
      <c r="D4" t="s">
        <v>83</v>
      </c>
      <c r="E4" t="s">
        <v>80</v>
      </c>
    </row>
    <row r="5" spans="1:5" x14ac:dyDescent="0.25">
      <c r="A5" s="4">
        <v>50252</v>
      </c>
      <c r="B5" s="7">
        <v>521.33000000000004</v>
      </c>
      <c r="C5" s="7">
        <v>7579.14</v>
      </c>
      <c r="D5" s="7">
        <v>17955.66</v>
      </c>
      <c r="E5" s="7">
        <v>26056.13</v>
      </c>
    </row>
    <row r="6" spans="1:5" x14ac:dyDescent="0.25">
      <c r="A6" s="5" t="s">
        <v>72</v>
      </c>
      <c r="B6" s="7">
        <v>521.33000000000004</v>
      </c>
      <c r="C6" s="7">
        <v>7579.14</v>
      </c>
      <c r="D6" s="7">
        <v>17955.66</v>
      </c>
      <c r="E6" s="7">
        <v>26056.13</v>
      </c>
    </row>
    <row r="7" spans="1:5" x14ac:dyDescent="0.25">
      <c r="A7" s="6" t="s">
        <v>73</v>
      </c>
      <c r="B7" s="7">
        <v>521.33000000000004</v>
      </c>
      <c r="C7" s="7">
        <v>7579.14</v>
      </c>
      <c r="D7" s="7">
        <v>17955.66</v>
      </c>
      <c r="E7" s="7">
        <v>26056.13</v>
      </c>
    </row>
    <row r="8" spans="1:5" x14ac:dyDescent="0.25">
      <c r="A8" s="4" t="s">
        <v>80</v>
      </c>
      <c r="B8" s="7">
        <v>521.33000000000004</v>
      </c>
      <c r="C8" s="7">
        <v>7579.14</v>
      </c>
      <c r="D8" s="7">
        <v>17955.66</v>
      </c>
      <c r="E8" s="7">
        <v>26056.13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5DC0-8059-4D25-BC36-0F0E76037159}">
  <sheetPr codeName="Hoja3"/>
  <dimension ref="A1:AA11"/>
  <sheetViews>
    <sheetView workbookViewId="0">
      <selection sqref="A1:AA11"/>
    </sheetView>
  </sheetViews>
  <sheetFormatPr baseColWidth="10" defaultRowHeight="15" x14ac:dyDescent="0.25"/>
  <cols>
    <col min="4" max="4" width="20.140625" customWidth="1"/>
    <col min="5" max="5" width="15.5703125" customWidth="1"/>
    <col min="7" max="7" width="14.7109375" customWidth="1"/>
    <col min="10" max="10" width="15.7109375" customWidth="1"/>
    <col min="11" max="11" width="17.42578125" customWidth="1"/>
    <col min="12" max="12" width="16.42578125" customWidth="1"/>
    <col min="13" max="13" width="13.7109375" customWidth="1"/>
    <col min="16" max="16" width="13.85546875" customWidth="1"/>
    <col min="17" max="17" width="27.5703125" customWidth="1"/>
    <col min="18" max="18" width="26.5703125" customWidth="1"/>
    <col min="19" max="19" width="18.5703125" customWidth="1"/>
    <col min="20" max="20" width="11.5703125" customWidth="1"/>
    <col min="21" max="21" width="16.28515625" customWidth="1"/>
    <col min="22" max="22" width="12.5703125" customWidth="1"/>
    <col min="24" max="24" width="19.28515625" customWidth="1"/>
    <col min="25" max="25" width="21.42578125" customWidth="1"/>
    <col min="27" max="27" width="16.28515625" customWidth="1"/>
  </cols>
  <sheetData>
    <row r="1" spans="1:27" x14ac:dyDescent="0.25">
      <c r="A1" s="2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30</v>
      </c>
      <c r="G1" s="2" t="s">
        <v>31</v>
      </c>
      <c r="H1" s="2" t="s">
        <v>32</v>
      </c>
      <c r="I1" s="2" t="s">
        <v>33</v>
      </c>
      <c r="J1" s="2" t="s">
        <v>34</v>
      </c>
      <c r="K1" s="2" t="s">
        <v>35</v>
      </c>
      <c r="L1" s="2" t="s">
        <v>36</v>
      </c>
      <c r="M1" s="2" t="s">
        <v>37</v>
      </c>
      <c r="N1" s="2" t="s">
        <v>38</v>
      </c>
      <c r="O1" s="2" t="s">
        <v>39</v>
      </c>
      <c r="P1" s="2" t="s">
        <v>40</v>
      </c>
      <c r="Q1" s="2" t="s">
        <v>41</v>
      </c>
      <c r="R1" s="2" t="s">
        <v>42</v>
      </c>
      <c r="S1" s="2" t="s">
        <v>13</v>
      </c>
      <c r="T1" s="2" t="s">
        <v>14</v>
      </c>
      <c r="U1" s="2" t="s">
        <v>43</v>
      </c>
      <c r="V1" s="2" t="s">
        <v>44</v>
      </c>
      <c r="W1" s="2" t="s">
        <v>45</v>
      </c>
      <c r="X1" s="2" t="s">
        <v>46</v>
      </c>
      <c r="Y1" s="2" t="s">
        <v>47</v>
      </c>
      <c r="Z1" s="2" t="s">
        <v>48</v>
      </c>
      <c r="AA1" s="2" t="s">
        <v>49</v>
      </c>
    </row>
    <row r="2" spans="1:27" x14ac:dyDescent="0.25">
      <c r="A2" t="s">
        <v>83</v>
      </c>
      <c r="B2" s="1">
        <v>44743</v>
      </c>
      <c r="C2" t="s">
        <v>84</v>
      </c>
      <c r="D2" s="8" t="s">
        <v>85</v>
      </c>
      <c r="E2">
        <v>50252</v>
      </c>
      <c r="F2">
        <v>12572</v>
      </c>
      <c r="G2" t="s">
        <v>72</v>
      </c>
      <c r="H2">
        <v>25</v>
      </c>
      <c r="I2" t="s">
        <v>86</v>
      </c>
      <c r="J2" t="s">
        <v>73</v>
      </c>
      <c r="K2">
        <v>60363214</v>
      </c>
      <c r="L2" t="s">
        <v>87</v>
      </c>
      <c r="M2" t="s">
        <v>88</v>
      </c>
      <c r="N2" t="s">
        <v>75</v>
      </c>
      <c r="O2">
        <v>400</v>
      </c>
      <c r="P2" t="s">
        <v>89</v>
      </c>
      <c r="Q2">
        <v>60363214</v>
      </c>
      <c r="R2" t="s">
        <v>87</v>
      </c>
      <c r="S2">
        <v>400</v>
      </c>
      <c r="U2">
        <v>1</v>
      </c>
      <c r="V2">
        <v>400</v>
      </c>
      <c r="W2" t="s">
        <v>90</v>
      </c>
      <c r="X2" t="s">
        <v>91</v>
      </c>
      <c r="Z2" t="s">
        <v>77</v>
      </c>
      <c r="AA2" t="s">
        <v>92</v>
      </c>
    </row>
    <row r="3" spans="1:27" x14ac:dyDescent="0.25">
      <c r="A3" t="s">
        <v>83</v>
      </c>
      <c r="B3" s="1">
        <v>44743</v>
      </c>
      <c r="C3" t="s">
        <v>84</v>
      </c>
      <c r="D3" s="8" t="s">
        <v>93</v>
      </c>
      <c r="E3">
        <v>50252</v>
      </c>
      <c r="F3">
        <v>12572</v>
      </c>
      <c r="G3" t="s">
        <v>72</v>
      </c>
      <c r="H3">
        <v>25</v>
      </c>
      <c r="I3" t="s">
        <v>76</v>
      </c>
      <c r="J3" t="s">
        <v>73</v>
      </c>
      <c r="K3">
        <v>83734323</v>
      </c>
      <c r="L3" t="s">
        <v>87</v>
      </c>
      <c r="M3" t="s">
        <v>88</v>
      </c>
      <c r="N3" t="s">
        <v>75</v>
      </c>
      <c r="O3">
        <v>14409.05</v>
      </c>
      <c r="S3">
        <v>14409.05</v>
      </c>
      <c r="U3">
        <v>1</v>
      </c>
      <c r="V3">
        <v>14409.05</v>
      </c>
      <c r="Z3" t="s">
        <v>77</v>
      </c>
    </row>
    <row r="4" spans="1:27" x14ac:dyDescent="0.25">
      <c r="A4" t="s">
        <v>94</v>
      </c>
      <c r="B4" s="1">
        <v>44743</v>
      </c>
      <c r="C4" t="s">
        <v>84</v>
      </c>
      <c r="D4" s="8" t="s">
        <v>93</v>
      </c>
      <c r="E4">
        <v>50252</v>
      </c>
      <c r="F4">
        <v>12572</v>
      </c>
      <c r="G4" t="s">
        <v>72</v>
      </c>
      <c r="H4">
        <v>25</v>
      </c>
      <c r="I4" t="s">
        <v>76</v>
      </c>
      <c r="J4" t="s">
        <v>73</v>
      </c>
      <c r="K4">
        <v>83734324</v>
      </c>
      <c r="L4" t="s">
        <v>95</v>
      </c>
      <c r="M4" t="s">
        <v>88</v>
      </c>
      <c r="N4" t="s">
        <v>75</v>
      </c>
      <c r="O4">
        <v>7579.14</v>
      </c>
      <c r="S4">
        <v>7579.14</v>
      </c>
      <c r="U4">
        <v>1</v>
      </c>
      <c r="V4">
        <v>7579.14</v>
      </c>
      <c r="Z4" t="s">
        <v>77</v>
      </c>
    </row>
    <row r="5" spans="1:27" x14ac:dyDescent="0.25">
      <c r="A5" t="s">
        <v>96</v>
      </c>
      <c r="B5" s="1">
        <v>44743</v>
      </c>
      <c r="C5" t="s">
        <v>84</v>
      </c>
      <c r="D5" s="8" t="s">
        <v>93</v>
      </c>
      <c r="E5">
        <v>50252</v>
      </c>
      <c r="F5">
        <v>12572</v>
      </c>
      <c r="G5" t="s">
        <v>72</v>
      </c>
      <c r="H5">
        <v>25</v>
      </c>
      <c r="I5" t="s">
        <v>97</v>
      </c>
      <c r="J5" t="s">
        <v>73</v>
      </c>
      <c r="K5">
        <v>8993440</v>
      </c>
      <c r="L5" t="s">
        <v>98</v>
      </c>
      <c r="M5" t="s">
        <v>99</v>
      </c>
      <c r="N5" t="s">
        <v>75</v>
      </c>
      <c r="O5">
        <v>521.33000000000004</v>
      </c>
      <c r="S5">
        <v>521.33000000000004</v>
      </c>
      <c r="U5">
        <v>1</v>
      </c>
      <c r="V5">
        <v>521.33000000000004</v>
      </c>
      <c r="Z5" t="s">
        <v>77</v>
      </c>
    </row>
    <row r="6" spans="1:27" x14ac:dyDescent="0.25">
      <c r="A6" t="s">
        <v>83</v>
      </c>
      <c r="B6" s="1">
        <v>44743</v>
      </c>
      <c r="C6" t="s">
        <v>84</v>
      </c>
      <c r="D6" s="8" t="s">
        <v>100</v>
      </c>
      <c r="E6">
        <v>50252</v>
      </c>
      <c r="F6">
        <v>12572</v>
      </c>
      <c r="G6" t="s">
        <v>72</v>
      </c>
      <c r="H6">
        <v>25</v>
      </c>
      <c r="I6" t="s">
        <v>86</v>
      </c>
      <c r="J6" t="s">
        <v>73</v>
      </c>
      <c r="K6">
        <v>103111513</v>
      </c>
      <c r="L6" t="s">
        <v>101</v>
      </c>
      <c r="M6" t="s">
        <v>102</v>
      </c>
      <c r="N6" t="s">
        <v>75</v>
      </c>
      <c r="O6">
        <v>221</v>
      </c>
      <c r="P6" t="s">
        <v>103</v>
      </c>
      <c r="Q6">
        <v>103111513</v>
      </c>
      <c r="R6" t="s">
        <v>101</v>
      </c>
      <c r="S6">
        <v>221</v>
      </c>
      <c r="U6">
        <v>1</v>
      </c>
      <c r="V6">
        <v>221</v>
      </c>
      <c r="W6" t="s">
        <v>90</v>
      </c>
      <c r="X6" t="s">
        <v>91</v>
      </c>
      <c r="Z6" t="s">
        <v>77</v>
      </c>
      <c r="AA6" t="s">
        <v>92</v>
      </c>
    </row>
    <row r="7" spans="1:27" x14ac:dyDescent="0.25">
      <c r="A7" t="s">
        <v>83</v>
      </c>
      <c r="B7" s="1">
        <v>44743</v>
      </c>
      <c r="C7" t="s">
        <v>84</v>
      </c>
      <c r="D7" s="8" t="s">
        <v>104</v>
      </c>
      <c r="E7">
        <v>50252</v>
      </c>
      <c r="F7">
        <v>12572</v>
      </c>
      <c r="G7" t="s">
        <v>72</v>
      </c>
      <c r="H7">
        <v>25</v>
      </c>
      <c r="I7" t="s">
        <v>86</v>
      </c>
      <c r="J7" t="s">
        <v>73</v>
      </c>
      <c r="K7">
        <v>165818296</v>
      </c>
      <c r="L7" t="s">
        <v>101</v>
      </c>
      <c r="M7" t="s">
        <v>102</v>
      </c>
      <c r="N7" t="s">
        <v>75</v>
      </c>
      <c r="O7">
        <v>74</v>
      </c>
      <c r="P7" t="s">
        <v>89</v>
      </c>
      <c r="Q7">
        <v>165818296</v>
      </c>
      <c r="R7" t="s">
        <v>101</v>
      </c>
      <c r="S7">
        <v>74</v>
      </c>
      <c r="U7">
        <v>1</v>
      </c>
      <c r="V7">
        <v>74</v>
      </c>
      <c r="W7" t="s">
        <v>90</v>
      </c>
      <c r="X7" t="s">
        <v>91</v>
      </c>
      <c r="Z7" t="s">
        <v>77</v>
      </c>
      <c r="AA7" t="s">
        <v>92</v>
      </c>
    </row>
    <row r="8" spans="1:27" x14ac:dyDescent="0.25">
      <c r="A8" t="s">
        <v>83</v>
      </c>
      <c r="B8" s="1">
        <v>44743</v>
      </c>
      <c r="C8" t="s">
        <v>84</v>
      </c>
      <c r="D8" s="8" t="s">
        <v>105</v>
      </c>
      <c r="E8">
        <v>50252</v>
      </c>
      <c r="F8">
        <v>12572</v>
      </c>
      <c r="G8" t="s">
        <v>72</v>
      </c>
      <c r="H8">
        <v>25</v>
      </c>
      <c r="I8" t="s">
        <v>86</v>
      </c>
      <c r="J8" t="s">
        <v>73</v>
      </c>
      <c r="K8">
        <v>85433526</v>
      </c>
      <c r="L8" t="s">
        <v>101</v>
      </c>
      <c r="M8" t="s">
        <v>102</v>
      </c>
      <c r="N8" t="s">
        <v>75</v>
      </c>
      <c r="O8">
        <v>767</v>
      </c>
      <c r="P8" t="s">
        <v>106</v>
      </c>
      <c r="Q8">
        <v>85433526</v>
      </c>
      <c r="R8" t="s">
        <v>101</v>
      </c>
      <c r="S8">
        <v>767</v>
      </c>
      <c r="U8">
        <v>1</v>
      </c>
      <c r="V8">
        <v>767</v>
      </c>
      <c r="W8" t="s">
        <v>90</v>
      </c>
      <c r="X8" t="s">
        <v>91</v>
      </c>
      <c r="Z8" t="s">
        <v>77</v>
      </c>
      <c r="AA8" t="s">
        <v>92</v>
      </c>
    </row>
    <row r="9" spans="1:27" x14ac:dyDescent="0.25">
      <c r="A9" t="s">
        <v>83</v>
      </c>
      <c r="B9" s="1">
        <v>44743</v>
      </c>
      <c r="C9" t="s">
        <v>84</v>
      </c>
      <c r="D9" s="8" t="s">
        <v>107</v>
      </c>
      <c r="E9">
        <v>50252</v>
      </c>
      <c r="F9">
        <v>12572</v>
      </c>
      <c r="G9" t="s">
        <v>72</v>
      </c>
      <c r="H9">
        <v>25</v>
      </c>
      <c r="I9" t="s">
        <v>86</v>
      </c>
      <c r="J9" t="s">
        <v>73</v>
      </c>
      <c r="K9">
        <v>101545580</v>
      </c>
      <c r="L9" t="s">
        <v>101</v>
      </c>
      <c r="M9" t="s">
        <v>102</v>
      </c>
      <c r="N9" t="s">
        <v>75</v>
      </c>
      <c r="O9">
        <v>802.4</v>
      </c>
      <c r="P9" t="s">
        <v>73</v>
      </c>
      <c r="Q9">
        <v>101545580</v>
      </c>
      <c r="R9" t="s">
        <v>101</v>
      </c>
      <c r="S9">
        <v>804</v>
      </c>
      <c r="T9">
        <v>1.6</v>
      </c>
      <c r="U9">
        <v>1</v>
      </c>
      <c r="V9">
        <v>802.4</v>
      </c>
      <c r="W9" t="s">
        <v>108</v>
      </c>
      <c r="X9" t="s">
        <v>91</v>
      </c>
      <c r="Z9" t="s">
        <v>77</v>
      </c>
      <c r="AA9" t="s">
        <v>92</v>
      </c>
    </row>
    <row r="10" spans="1:27" x14ac:dyDescent="0.25">
      <c r="A10" t="s">
        <v>83</v>
      </c>
      <c r="B10" s="1">
        <v>44743</v>
      </c>
      <c r="C10" t="s">
        <v>84</v>
      </c>
      <c r="D10" s="8" t="s">
        <v>109</v>
      </c>
      <c r="E10">
        <v>50252</v>
      </c>
      <c r="F10">
        <v>12572</v>
      </c>
      <c r="G10" t="s">
        <v>72</v>
      </c>
      <c r="H10">
        <v>25</v>
      </c>
      <c r="I10" t="s">
        <v>86</v>
      </c>
      <c r="J10" t="s">
        <v>73</v>
      </c>
      <c r="K10">
        <v>134427240</v>
      </c>
      <c r="L10" t="s">
        <v>101</v>
      </c>
      <c r="M10" t="s">
        <v>102</v>
      </c>
      <c r="N10" t="s">
        <v>75</v>
      </c>
      <c r="O10">
        <v>615.21</v>
      </c>
      <c r="P10" t="s">
        <v>103</v>
      </c>
      <c r="Q10">
        <v>134427240</v>
      </c>
      <c r="R10" t="s">
        <v>101</v>
      </c>
      <c r="S10">
        <v>616</v>
      </c>
      <c r="T10">
        <v>0.79</v>
      </c>
      <c r="U10">
        <v>1</v>
      </c>
      <c r="V10">
        <v>615.21</v>
      </c>
      <c r="W10" t="s">
        <v>108</v>
      </c>
      <c r="X10" t="s">
        <v>91</v>
      </c>
      <c r="Z10" t="s">
        <v>77</v>
      </c>
      <c r="AA10" t="s">
        <v>92</v>
      </c>
    </row>
    <row r="11" spans="1:27" x14ac:dyDescent="0.25">
      <c r="A11" t="s">
        <v>83</v>
      </c>
      <c r="B11" s="1">
        <v>44743</v>
      </c>
      <c r="C11" t="s">
        <v>84</v>
      </c>
      <c r="D11" s="8" t="s">
        <v>110</v>
      </c>
      <c r="E11">
        <v>50252</v>
      </c>
      <c r="F11">
        <v>12572</v>
      </c>
      <c r="G11" t="s">
        <v>72</v>
      </c>
      <c r="H11">
        <v>25</v>
      </c>
      <c r="I11" t="s">
        <v>86</v>
      </c>
      <c r="J11" t="s">
        <v>73</v>
      </c>
      <c r="K11">
        <v>102936106</v>
      </c>
      <c r="L11">
        <v>701720175</v>
      </c>
      <c r="M11" t="s">
        <v>111</v>
      </c>
      <c r="N11" t="s">
        <v>75</v>
      </c>
      <c r="O11">
        <v>667</v>
      </c>
      <c r="P11" t="s">
        <v>73</v>
      </c>
      <c r="Q11">
        <v>102936106</v>
      </c>
      <c r="R11" t="s">
        <v>101</v>
      </c>
      <c r="S11">
        <v>667</v>
      </c>
      <c r="U11">
        <v>1</v>
      </c>
      <c r="V11">
        <v>667</v>
      </c>
      <c r="W11" t="s">
        <v>112</v>
      </c>
      <c r="X11" s="9">
        <v>44569</v>
      </c>
      <c r="Z11" t="s">
        <v>77</v>
      </c>
      <c r="AA11" t="s">
        <v>92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79351-388E-4EC3-95C3-6049F00FE1B0}">
  <dimension ref="A3:G10"/>
  <sheetViews>
    <sheetView workbookViewId="0"/>
  </sheetViews>
  <sheetFormatPr baseColWidth="10" defaultRowHeight="15" x14ac:dyDescent="0.25"/>
  <cols>
    <col min="1" max="1" width="31.28515625" bestFit="1" customWidth="1"/>
    <col min="2" max="2" width="22.42578125" bestFit="1" customWidth="1"/>
    <col min="3" max="3" width="12.5703125" bestFit="1" customWidth="1"/>
    <col min="5" max="5" width="20.140625" bestFit="1" customWidth="1"/>
    <col min="6" max="6" width="18.5703125" bestFit="1" customWidth="1"/>
    <col min="7" max="7" width="12.5703125" bestFit="1" customWidth="1"/>
  </cols>
  <sheetData>
    <row r="3" spans="1:7" x14ac:dyDescent="0.25">
      <c r="A3" s="3" t="s">
        <v>82</v>
      </c>
      <c r="F3" s="3" t="s">
        <v>63</v>
      </c>
    </row>
    <row r="4" spans="1:7" x14ac:dyDescent="0.25">
      <c r="A4" s="3" t="s">
        <v>51</v>
      </c>
      <c r="B4" s="3" t="s">
        <v>52</v>
      </c>
      <c r="C4" s="3" t="s">
        <v>54</v>
      </c>
      <c r="D4" s="3" t="s">
        <v>62</v>
      </c>
      <c r="E4" s="3" t="s">
        <v>64</v>
      </c>
      <c r="F4" t="s">
        <v>120</v>
      </c>
      <c r="G4" t="s">
        <v>80</v>
      </c>
    </row>
    <row r="5" spans="1:7" x14ac:dyDescent="0.25">
      <c r="A5" t="s">
        <v>115</v>
      </c>
      <c r="B5">
        <v>50252</v>
      </c>
      <c r="C5" s="9">
        <v>44771</v>
      </c>
      <c r="D5" t="s">
        <v>119</v>
      </c>
      <c r="E5" t="s">
        <v>136</v>
      </c>
      <c r="F5" s="7">
        <v>7547.2</v>
      </c>
      <c r="G5" s="7">
        <v>7547.2</v>
      </c>
    </row>
    <row r="6" spans="1:7" x14ac:dyDescent="0.25">
      <c r="A6" t="s">
        <v>115</v>
      </c>
      <c r="B6">
        <v>50252</v>
      </c>
      <c r="C6" s="9">
        <v>44771</v>
      </c>
      <c r="D6" t="s">
        <v>137</v>
      </c>
      <c r="F6" s="7">
        <v>7547.2</v>
      </c>
      <c r="G6" s="7">
        <v>7547.2</v>
      </c>
    </row>
    <row r="7" spans="1:7" x14ac:dyDescent="0.25">
      <c r="A7" t="s">
        <v>115</v>
      </c>
      <c r="B7">
        <v>50252</v>
      </c>
      <c r="C7" s="9" t="s">
        <v>138</v>
      </c>
      <c r="F7" s="7">
        <v>7547.2</v>
      </c>
      <c r="G7" s="7">
        <v>7547.2</v>
      </c>
    </row>
    <row r="8" spans="1:7" x14ac:dyDescent="0.25">
      <c r="A8" t="s">
        <v>115</v>
      </c>
      <c r="B8" t="s">
        <v>139</v>
      </c>
      <c r="F8" s="7">
        <v>7547.2</v>
      </c>
      <c r="G8" s="7">
        <v>7547.2</v>
      </c>
    </row>
    <row r="9" spans="1:7" x14ac:dyDescent="0.25">
      <c r="A9" t="s">
        <v>140</v>
      </c>
      <c r="F9" s="7">
        <v>7547.2</v>
      </c>
      <c r="G9" s="7">
        <v>7547.2</v>
      </c>
    </row>
    <row r="10" spans="1:7" x14ac:dyDescent="0.25">
      <c r="A10" t="s">
        <v>80</v>
      </c>
      <c r="F10" s="7">
        <v>7547.2</v>
      </c>
      <c r="G10" s="7">
        <v>7547.2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AEBB4-F936-40FB-9D8F-9C51A336BC9A}">
  <sheetPr codeName="Hoja5"/>
  <dimension ref="A1:V5"/>
  <sheetViews>
    <sheetView workbookViewId="0">
      <selection sqref="A1:V5"/>
    </sheetView>
  </sheetViews>
  <sheetFormatPr baseColWidth="10" defaultRowHeight="15" x14ac:dyDescent="0.25"/>
  <cols>
    <col min="5" max="5" width="21.7109375" customWidth="1"/>
    <col min="6" max="6" width="20.140625" customWidth="1"/>
    <col min="7" max="7" width="21" customWidth="1"/>
    <col min="8" max="8" width="35.28515625" customWidth="1"/>
    <col min="9" max="9" width="39.85546875" customWidth="1"/>
    <col min="10" max="10" width="17.7109375" customWidth="1"/>
    <col min="11" max="11" width="23" customWidth="1"/>
    <col min="12" max="12" width="19" customWidth="1"/>
    <col min="13" max="13" width="22.42578125" customWidth="1"/>
    <col min="14" max="14" width="17.7109375" customWidth="1"/>
    <col min="15" max="15" width="19.7109375" customWidth="1"/>
    <col min="17" max="17" width="18.42578125" customWidth="1"/>
    <col min="18" max="18" width="15.28515625" customWidth="1"/>
    <col min="19" max="19" width="18.28515625" customWidth="1"/>
    <col min="21" max="21" width="16.42578125" customWidth="1"/>
    <col min="22" max="22" width="13.85546875" customWidth="1"/>
  </cols>
  <sheetData>
    <row r="1" spans="1:22" x14ac:dyDescent="0.25">
      <c r="A1" s="2" t="s">
        <v>50</v>
      </c>
      <c r="B1" s="2" t="s">
        <v>51</v>
      </c>
      <c r="C1" s="2" t="s">
        <v>52</v>
      </c>
      <c r="D1" s="2" t="s">
        <v>53</v>
      </c>
      <c r="E1" s="2" t="s">
        <v>54</v>
      </c>
      <c r="F1" s="2" t="s">
        <v>55</v>
      </c>
      <c r="G1" s="2" t="s">
        <v>56</v>
      </c>
      <c r="H1" s="2" t="s">
        <v>57</v>
      </c>
      <c r="I1" s="2" t="s">
        <v>58</v>
      </c>
      <c r="J1" s="2" t="s">
        <v>59</v>
      </c>
      <c r="K1" s="2" t="s">
        <v>60</v>
      </c>
      <c r="L1" s="2" t="s">
        <v>61</v>
      </c>
      <c r="M1" s="2" t="s">
        <v>62</v>
      </c>
      <c r="N1" s="2" t="s">
        <v>63</v>
      </c>
      <c r="O1" s="2" t="s">
        <v>64</v>
      </c>
      <c r="P1" s="2" t="s">
        <v>11</v>
      </c>
      <c r="Q1" s="2" t="s">
        <v>65</v>
      </c>
      <c r="R1" s="2" t="s">
        <v>66</v>
      </c>
      <c r="S1" s="2" t="s">
        <v>67</v>
      </c>
      <c r="T1" s="2" t="s">
        <v>68</v>
      </c>
      <c r="U1" s="2" t="s">
        <v>69</v>
      </c>
      <c r="V1" s="2" t="s">
        <v>70</v>
      </c>
    </row>
    <row r="2" spans="1:22" x14ac:dyDescent="0.25">
      <c r="A2" t="s">
        <v>114</v>
      </c>
      <c r="B2" t="s">
        <v>115</v>
      </c>
      <c r="C2">
        <v>50252</v>
      </c>
      <c r="D2">
        <v>25</v>
      </c>
      <c r="E2" s="9">
        <v>44771</v>
      </c>
      <c r="F2">
        <v>5027</v>
      </c>
      <c r="G2" s="8" t="s">
        <v>116</v>
      </c>
      <c r="J2" s="8" t="s">
        <v>117</v>
      </c>
      <c r="L2" t="s">
        <v>118</v>
      </c>
      <c r="M2" t="s">
        <v>119</v>
      </c>
      <c r="N2" t="s">
        <v>120</v>
      </c>
      <c r="P2">
        <v>247</v>
      </c>
      <c r="Q2" s="8" t="s">
        <v>121</v>
      </c>
      <c r="R2" s="8" t="s">
        <v>122</v>
      </c>
      <c r="S2" t="s">
        <v>123</v>
      </c>
    </row>
    <row r="3" spans="1:22" x14ac:dyDescent="0.25">
      <c r="A3" t="s">
        <v>114</v>
      </c>
      <c r="B3" t="s">
        <v>115</v>
      </c>
      <c r="C3">
        <v>50252</v>
      </c>
      <c r="D3">
        <v>25</v>
      </c>
      <c r="E3" s="9">
        <v>44771</v>
      </c>
      <c r="F3">
        <v>5018</v>
      </c>
      <c r="G3" s="8" t="s">
        <v>124</v>
      </c>
      <c r="J3" s="8" t="s">
        <v>125</v>
      </c>
      <c r="L3" t="s">
        <v>118</v>
      </c>
      <c r="M3" t="s">
        <v>119</v>
      </c>
      <c r="N3" t="s">
        <v>120</v>
      </c>
      <c r="P3">
        <v>47.2</v>
      </c>
      <c r="Q3" s="8" t="s">
        <v>126</v>
      </c>
      <c r="R3" s="8" t="s">
        <v>122</v>
      </c>
      <c r="S3" t="s">
        <v>127</v>
      </c>
    </row>
    <row r="4" spans="1:22" x14ac:dyDescent="0.25">
      <c r="A4" t="s">
        <v>114</v>
      </c>
      <c r="B4" t="s">
        <v>115</v>
      </c>
      <c r="C4">
        <v>50252</v>
      </c>
      <c r="D4">
        <v>25</v>
      </c>
      <c r="E4" s="9">
        <v>44771</v>
      </c>
      <c r="F4">
        <v>5015</v>
      </c>
      <c r="G4" s="8" t="s">
        <v>128</v>
      </c>
      <c r="J4" s="8" t="s">
        <v>129</v>
      </c>
      <c r="L4" t="s">
        <v>118</v>
      </c>
      <c r="M4" t="s">
        <v>119</v>
      </c>
      <c r="N4" t="s">
        <v>120</v>
      </c>
      <c r="P4">
        <v>1456</v>
      </c>
      <c r="Q4" s="8" t="s">
        <v>130</v>
      </c>
      <c r="R4" s="8" t="s">
        <v>122</v>
      </c>
      <c r="S4" t="s">
        <v>131</v>
      </c>
    </row>
    <row r="5" spans="1:22" x14ac:dyDescent="0.25">
      <c r="A5" t="s">
        <v>114</v>
      </c>
      <c r="B5" t="s">
        <v>115</v>
      </c>
      <c r="C5">
        <v>50252</v>
      </c>
      <c r="D5">
        <v>25</v>
      </c>
      <c r="E5" s="9">
        <v>44771</v>
      </c>
      <c r="F5">
        <v>5012</v>
      </c>
      <c r="G5" s="8" t="s">
        <v>132</v>
      </c>
      <c r="J5" s="8" t="s">
        <v>133</v>
      </c>
      <c r="L5" t="s">
        <v>118</v>
      </c>
      <c r="M5" t="s">
        <v>119</v>
      </c>
      <c r="N5" t="s">
        <v>120</v>
      </c>
      <c r="P5">
        <v>5797</v>
      </c>
      <c r="Q5" s="8" t="s">
        <v>134</v>
      </c>
      <c r="R5" s="8" t="s">
        <v>122</v>
      </c>
      <c r="S5" t="s">
        <v>135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Cierre</vt:lpstr>
      <vt:lpstr>tblTarjetas</vt:lpstr>
      <vt:lpstr>Tarjetas</vt:lpstr>
      <vt:lpstr>tblDepositos</vt:lpstr>
      <vt:lpstr>Depositos</vt:lpstr>
      <vt:lpstr>tblTransaccional</vt:lpstr>
      <vt:lpstr>Transaccional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Adolfo Coronado Gomez</dc:creator>
  <cp:lastModifiedBy>Cristian Adolfo Coronado Gomez</cp:lastModifiedBy>
  <dcterms:created xsi:type="dcterms:W3CDTF">2015-06-05T18:19:34Z</dcterms:created>
  <dcterms:modified xsi:type="dcterms:W3CDTF">2022-08-01T16:05:14Z</dcterms:modified>
</cp:coreProperties>
</file>