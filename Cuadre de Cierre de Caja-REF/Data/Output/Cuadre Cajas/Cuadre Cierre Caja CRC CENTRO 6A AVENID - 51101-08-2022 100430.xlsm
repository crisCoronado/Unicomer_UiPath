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3F605FE4-24E3-4656-8C6A-13E1392EA19A}" xr6:coauthVersionLast="47" xr6:coauthVersionMax="47" xr10:uidLastSave="{00000000-0000-0000-0000-000000000000}"/>
  <bookViews>
    <workbookView xWindow="3120" yWindow="312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23" r:id="rId8"/>
    <pivotCache cacheId="24" r:id="rId9"/>
    <pivotCache cacheId="25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<sst xmlns="http://schemas.openxmlformats.org/spreadsheetml/2006/main" count="712" uniqueCount="221">
  <si>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</si>
  <si>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</si>
  <si>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</si>
  <si>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</si>
  <si>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</si>
  <si>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</si>
  <si>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</si>
  <si>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</si>
  <si>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</si>
  <si>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</si>
  <si>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</si>
  <si>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</si>
  <si>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</si>
  <si>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</si>
  <si>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</si>
  <si>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</si>
  <si>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</si>
  <si>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</si>
  <si>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</si>
  <si>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</si>
  <si>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</si>
  <si>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</si>
  <si>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</si>
  <si>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</si>
  <si>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</si>
  <si>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</si>
  <si>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</si>
  <si>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</si>
  <si>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</si>
  <si>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</si>
  <si>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</si>
  <si>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</si>
  <si>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</si>
  <si>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</si>
  <si>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</si>
  <si>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</si>
  <si>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</si>
  <si>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</si>
  <si>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</si>
  <si>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</si>
  <si>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</si>
  <si>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</si>
  <si>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</si>
  <si>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</si>
  <si>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</si>
  <si>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</si>
  <si>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</si>
  <si>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</si>
  <si>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</si>
  <si>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</si>
  <si>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</si>
  <si>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</si>
  <si>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</si>
  <si>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</si>
  <si>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</si>
  <si>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</si>
  <si>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</si>
  <si>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</si>
  <si>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</si>
  <si>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</si>
  <si>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</si>
  <si>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</si>
  <si>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</si>
  <si>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</si>
  <si>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</si>
  <si>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</si>
  <si>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</si>
  <si>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</si>
  <si>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</si>
  <si>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</si>
  <si>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</si>
  <si>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de America Central, S.A.</t>
  </si>
  <si>
    <t>UNICOMER-GRAN PLAZA CURACAO-</t>
  </si>
  <si>
    <t>29/07/2022</t>
  </si>
  <si>
    <t>TARJETA</t>
  </si>
  <si>
    <t>GTQ</t>
  </si>
  <si>
    <t>NOC</t>
  </si>
  <si>
    <t>BESSY ISABETH LOPEZ PEREZ</t>
  </si>
  <si>
    <t>system</t>
  </si>
  <si>
    <t>Union Comercial de Guatemala, S.A. - Banco G&amp;T Continental, S.A.</t>
  </si>
  <si>
    <t>LUISA VIVIANA LOPEZ CALDERON</t>
  </si>
  <si>
    <t>IRIS REBECA MONTERROSO GARCIA</t>
  </si>
  <si>
    <t>CREDOMATIC 6 PAGOS</t>
  </si>
  <si>
    <t>VISANET 10 PAGOS</t>
  </si>
  <si>
    <t>CREDOMATIC 36 PAGOS</t>
  </si>
  <si>
    <t>Etiquetas de columna</t>
  </si>
  <si>
    <t>Total general</t>
  </si>
  <si>
    <t>Etiquetas de fila</t>
  </si>
  <si>
    <t>Suma de MONTO</t>
  </si>
  <si>
    <t>UNICOSERVI</t>
  </si>
  <si>
    <t>CSH</t>
  </si>
  <si>
    <t>12511000117120220729</t>
  </si>
  <si>
    <t>000-000908-4</t>
  </si>
  <si>
    <t>Banco Industrial, S.A.</t>
  </si>
  <si>
    <t>12511000117220220729</t>
  </si>
  <si>
    <t>12511000117320220729</t>
  </si>
  <si>
    <t>UNICOMER</t>
  </si>
  <si>
    <t>000-063091-3</t>
  </si>
  <si>
    <t>BLUESTART GUATEMALA, S.A.</t>
  </si>
  <si>
    <t>NRGL</t>
  </si>
  <si>
    <t>066-0030603-2</t>
  </si>
  <si>
    <t>Banco G&amp;T C</t>
  </si>
  <si>
    <t>Suma de Monto</t>
  </si>
  <si>
    <t>LA CURACAO</t>
  </si>
  <si>
    <t>CRC CENTRO 6A AVENID</t>
  </si>
  <si>
    <t>12511003167320220729</t>
  </si>
  <si>
    <t>79596257468403977</t>
  </si>
  <si>
    <t>Factura Consumidor Final</t>
  </si>
  <si>
    <t>Ventas Contado</t>
  </si>
  <si>
    <t>Efectivo</t>
  </si>
  <si>
    <t/>
  </si>
  <si>
    <t xml:space="preserve">BYRON   RAMIREZ  </t>
  </si>
  <si>
    <t>12511001025020220729</t>
  </si>
  <si>
    <t>53624EC9504318834</t>
  </si>
  <si>
    <t>Venta Cotización contado</t>
  </si>
  <si>
    <t>Tarjeta de Credito</t>
  </si>
  <si>
    <t>125112252201T9</t>
  </si>
  <si>
    <t xml:space="preserve">JUAN CARLOS  POP SAGUI </t>
  </si>
  <si>
    <t>BANCO DE DESARROLLO RURAL, S.A</t>
  </si>
  <si>
    <t>Card</t>
  </si>
  <si>
    <t>12511003166920220729</t>
  </si>
  <si>
    <t>8AE9F7FF3029946192</t>
  </si>
  <si>
    <t>125112032203S2</t>
  </si>
  <si>
    <t xml:space="preserve">MARIA DEL ROSARIO  AGUILAR  </t>
  </si>
  <si>
    <t>12511001024320220729</t>
  </si>
  <si>
    <t>9C912B45379405547</t>
  </si>
  <si>
    <t>125112182203BC</t>
  </si>
  <si>
    <t>Visanet10Pagos</t>
  </si>
  <si>
    <t>12511001027020220729</t>
  </si>
  <si>
    <t>9E657C733213643425</t>
  </si>
  <si>
    <t>1251121922035D</t>
  </si>
  <si>
    <t xml:space="preserve">BYRON   SOL  </t>
  </si>
  <si>
    <t>BANCO GYT CONTINENTAL, S.A.|06</t>
  </si>
  <si>
    <t>12511003167820220729</t>
  </si>
  <si>
    <t>45306467271142568</t>
  </si>
  <si>
    <t>125112022203LB</t>
  </si>
  <si>
    <t xml:space="preserve">GIMMICK COMPANY   SA  </t>
  </si>
  <si>
    <t>BANCO INDUSTRIAL, S.A.|000-063</t>
  </si>
  <si>
    <t>12511001025320220729</t>
  </si>
  <si>
    <t>8311404D2586396128</t>
  </si>
  <si>
    <t>12511219220350</t>
  </si>
  <si>
    <t>FUNDACION RED DE SOBREVIVIENTES DE VIOLE</t>
  </si>
  <si>
    <t>12511002343320220729</t>
  </si>
  <si>
    <t>17B788332981775132</t>
  </si>
  <si>
    <t>12511219220355</t>
  </si>
  <si>
    <t>ESTEPHANY ALEXANDRA TELLO GARCIA</t>
  </si>
  <si>
    <t>12511002342420220729</t>
  </si>
  <si>
    <t>BD47B77F3273213767</t>
  </si>
  <si>
    <t>125112252201T8</t>
  </si>
  <si>
    <t xml:space="preserve">SULMA    CASTELLANOS  </t>
  </si>
  <si>
    <t>12511001026220220729</t>
  </si>
  <si>
    <t>2BF2A8FF1770407811</t>
  </si>
  <si>
    <t>125112282201D7</t>
  </si>
  <si>
    <t xml:space="preserve">ENRIQUE    ROMERO  </t>
  </si>
  <si>
    <t>BANCO PROMERICA, S.A.|1-233105</t>
  </si>
  <si>
    <t>12511003168620220729</t>
  </si>
  <si>
    <t>3226DACB104156093</t>
  </si>
  <si>
    <t>12511002340720220729</t>
  </si>
  <si>
    <t>01236B033204138439</t>
  </si>
  <si>
    <t>12511001027120220729</t>
  </si>
  <si>
    <t>C56AC2DE3414638904</t>
  </si>
  <si>
    <t>125112182203BN</t>
  </si>
  <si>
    <t>CARIN PAOLA  QUEME CAC DE GARCIA</t>
  </si>
  <si>
    <t>12511002342320220729</t>
  </si>
  <si>
    <t>0DBF0BA94250289105</t>
  </si>
  <si>
    <t>125112252201T7</t>
  </si>
  <si>
    <t xml:space="preserve">JORGE MARIO  SANTIZO GARCIA </t>
  </si>
  <si>
    <t>12511002341320220729</t>
  </si>
  <si>
    <t>8DFC3D69702236426</t>
  </si>
  <si>
    <t>125112182203BF</t>
  </si>
  <si>
    <t xml:space="preserve">ORLANDO    BALTAZAR  </t>
  </si>
  <si>
    <t>BANCO DE AMÉRICA CENTRAL, S.A</t>
  </si>
  <si>
    <t>Credomatic6Pagos</t>
  </si>
  <si>
    <t>12511003168820220729</t>
  </si>
  <si>
    <t>CCC751D72695580662</t>
  </si>
  <si>
    <t>125112292201NN</t>
  </si>
  <si>
    <t xml:space="preserve">IRMA   DE LA CERDA  </t>
  </si>
  <si>
    <t>12511001024820220729</t>
  </si>
  <si>
    <t>59F874C21654476277</t>
  </si>
  <si>
    <t>125112232202HK</t>
  </si>
  <si>
    <t xml:space="preserve">EDITH   SAPON  </t>
  </si>
  <si>
    <t>12511001024420220729</t>
  </si>
  <si>
    <t>54487406611798767</t>
  </si>
  <si>
    <t>12511002342020220729</t>
  </si>
  <si>
    <t>BC44C1A1879251003</t>
  </si>
  <si>
    <t>125112022203LD</t>
  </si>
  <si>
    <t xml:space="preserve">MARIO   LAU  </t>
  </si>
  <si>
    <t>Credomatic36Pagos</t>
  </si>
  <si>
    <t>12511001026020220729</t>
  </si>
  <si>
    <t>64C276104014099954</t>
  </si>
  <si>
    <t>125112182203BJ</t>
  </si>
  <si>
    <t>ELDER ALEXANDER ANDRES</t>
  </si>
  <si>
    <t>12511002343120220729</t>
  </si>
  <si>
    <t>3C61B1813043772851</t>
  </si>
  <si>
    <t>125112272201N6</t>
  </si>
  <si>
    <t xml:space="preserve">LUIS    DE LEON   </t>
  </si>
  <si>
    <t>12511001025620220729</t>
  </si>
  <si>
    <t>CF73AD733932441072</t>
  </si>
  <si>
    <t>125112272201N2</t>
  </si>
  <si>
    <t>12511001026320220729</t>
  </si>
  <si>
    <t>CAB081642191016553</t>
  </si>
  <si>
    <t>125112272201NB</t>
  </si>
  <si>
    <t xml:space="preserve">MAYRA   BENAVENTE  </t>
  </si>
  <si>
    <t>(en blanco)</t>
  </si>
  <si>
    <t>Total Venta Cotización contado</t>
  </si>
  <si>
    <t>Total Ventas Contado</t>
  </si>
  <si>
    <t>Total 29/07/2022</t>
  </si>
  <si>
    <t>Total 50201</t>
  </si>
  <si>
    <t>Total CRC CENTRO 6A AVENID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</si>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</sst>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19822916665" createdVersion="3" refreshedVersion="8" minRefreshableVersion="3" recordCount="29" xr:uid="{9BAE74BB-C44E-4441-A31D-5DA000079933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11001024320201E+19" maxValue="1.2511003168820199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01" maxValue="50201" count="1">
        <n v="50201"/>
      </sharedItems>
    </cacheField>
    <cacheField name="RI" numFmtId="0">
      <sharedItems containsSemiMixedTypes="0" containsString="0" containsNumber="1" containsInteger="1" minValue="511" maxValue="511"/>
    </cacheField>
    <cacheField name="NO CAJA" numFmtId="0">
      <sharedItems containsSemiMixedTypes="0" containsString="0" containsNumber="1" containsInteger="1" minValue="1" maxValue="3"/>
    </cacheField>
    <cacheField name="DESC ALMACEN" numFmtId="0">
      <sharedItems count="1">
        <s v="UNICOMER-GRAN PLAZA CURACAO-"/>
      </sharedItems>
    </cacheField>
    <cacheField name="REFERENCIA" numFmtId="0">
      <sharedItems containsSemiMixedTypes="0" containsString="0" containsNumber="1" containsInteger="1" minValue="17437" maxValue="4748431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containsInteger="1" minValue="65" maxValue="8145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containsInteger="1" minValue="65" maxValue="8145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19849652775" createdVersion="3" refreshedVersion="8" minRefreshableVersion="3" recordCount="6" xr:uid="{07AD96EE-9FF3-421A-A9A4-C6F6C3BCDFD8}">
  <cacheSource type="worksheet">
    <worksheetSource name="Tabla2"/>
  </cacheSource>
  <cacheFields count="27">
    <cacheField name="Compañia" numFmtId="0">
      <sharedItems count="3">
        <s v="UNICOSERVI"/>
        <s v="UNICOMER"/>
        <s v="BLUESTART GUATEMALA, S.A.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01" maxValue="50201" count="1">
        <n v="50201"/>
      </sharedItems>
    </cacheField>
    <cacheField name="Tienda" numFmtId="0">
      <sharedItems containsSemiMixedTypes="0" containsString="0" containsNumber="1" containsInteger="1" minValue="12511" maxValue="12511"/>
    </cacheField>
    <cacheField name="Desc Almacen" numFmtId="0">
      <sharedItems count="1">
        <s v="UNICOMER-GRAN PLAZA CURACAO-"/>
      </sharedItems>
    </cacheField>
    <cacheField name="Caja" numFmtId="0">
      <sharedItems containsSemiMixedTypes="0" containsString="0" containsNumber="1" containsInteger="1" minValue="1" maxValue="3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7942427" maxValue="85088364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640" maxValue="8475.4"/>
    </cacheField>
    <cacheField name="Fecha Banco" numFmtId="0">
      <sharedItems containsNonDate="0" containsString="0" containsBlank="1"/>
    </cacheField>
    <cacheField name="Número Déposito Confirmado" numFmtId="0">
      <sharedItems containsNonDate="0" containsString="0" containsBlank="1"/>
    </cacheField>
    <cacheField name="Número Cuenta Confirmada" numFmtId="0">
      <sharedItems containsNonDate="0" containsString="0" containsBlank="1"/>
    </cacheField>
    <cacheField name="Monto Confirmado" numFmtId="0">
      <sharedItems containsSemiMixedTypes="0" containsString="0" containsNumber="1" minValue="640" maxValue="8475.4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640" maxValue="8475.4"/>
    </cacheField>
    <cacheField name="Motivo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19911921294" createdVersion="3" refreshedVersion="8" minRefreshableVersion="3" recordCount="24" xr:uid="{B6B8232E-CB3B-4E2E-9373-A77F45E7AB2A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CENTRO 6A AVENID"/>
      </sharedItems>
    </cacheField>
    <cacheField name="CDA" numFmtId="0">
      <sharedItems containsSemiMixedTypes="0" containsString="0" containsNumber="1" containsInteger="1" minValue="50201" maxValue="50201" count="1">
        <n v="50201"/>
      </sharedItems>
    </cacheField>
    <cacheField name="CAJA" numFmtId="0">
      <sharedItems containsSemiMixedTypes="0" containsString="0" containsNumber="1" containsInteger="1" minValue="1" maxValue="3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243" maxValue="3433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2">
        <s v="Ventas Contado"/>
        <s v="Venta Cotización contado"/>
      </sharedItems>
    </cacheField>
    <cacheField name="FORMA DE PAGO" numFmtId="0">
      <sharedItems count="2">
        <s v="Efectivo"/>
        <s v="Tarjeta de Credit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minValue="10" maxValue="8145"/>
    </cacheField>
    <cacheField name="NUM_COTIZACON" numFmtId="0">
      <sharedItems/>
    </cacheField>
    <cacheField name="NUM_CUENTA" numFmtId="0">
      <sharedItems/>
    </cacheField>
    <cacheField name="NOMBRE_CLIENTE" numFmtId="0">
      <sharedItems containsBlank="1"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n v="1.2511003167520201E+19"/>
    <s v="Union Comercial de Guatemala, S.A. - Banco de America Central, S.A."/>
    <x v="0"/>
    <n v="511"/>
    <n v="3"/>
    <x v="0"/>
    <n v="17437"/>
    <d v="2022-07-01T00:00:00"/>
    <x v="0"/>
    <s v="TARJETA"/>
    <s v="GTQ"/>
    <n v="398"/>
    <m/>
    <m/>
    <m/>
    <n v="1"/>
    <n v="398"/>
    <x v="0"/>
    <m/>
    <m/>
    <m/>
    <m/>
    <m/>
    <s v="BESSY ISABETH LOPEZ PEREZ"/>
    <s v="system"/>
  </r>
  <r>
    <n v="1.25110031678202E+19"/>
    <s v="Union Comercial de Guatemala, S.A. - Banco G&amp;T Continental, S.A."/>
    <x v="0"/>
    <n v="511"/>
    <n v="3"/>
    <x v="0"/>
    <n v="175047"/>
    <d v="2022-07-01T00:00:00"/>
    <x v="0"/>
    <s v="TARJETA"/>
    <s v="GTQ"/>
    <n v="1992"/>
    <m/>
    <m/>
    <m/>
    <n v="1"/>
    <n v="1992"/>
    <x v="0"/>
    <m/>
    <m/>
    <m/>
    <m/>
    <m/>
    <s v="BESSY ISABETH LOPEZ PEREZ"/>
    <s v="system"/>
  </r>
  <r>
    <n v="1.2511002342620201E+19"/>
    <s v="Union Comercial de Guatemala, S.A. - Banco G&amp;T Continental, S.A."/>
    <x v="0"/>
    <n v="511"/>
    <n v="2"/>
    <x v="0"/>
    <n v="4748431"/>
    <d v="2022-07-01T00:00:00"/>
    <x v="0"/>
    <s v="TARJETA"/>
    <s v="GTQ"/>
    <n v="310"/>
    <m/>
    <m/>
    <m/>
    <n v="1"/>
    <n v="310"/>
    <x v="0"/>
    <m/>
    <m/>
    <m/>
    <m/>
    <m/>
    <s v="LUISA VIVIANA LOPEZ CALDERON"/>
    <s v="system"/>
  </r>
  <r>
    <n v="1.25110010247202E+19"/>
    <s v="Union Comercial de Guatemala, S.A. - Banco G&amp;T Continental, S.A."/>
    <x v="0"/>
    <n v="511"/>
    <n v="1"/>
    <x v="0"/>
    <n v="211399"/>
    <d v="2022-07-01T00:00:00"/>
    <x v="0"/>
    <s v="TARJETA"/>
    <s v="GTQ"/>
    <n v="520"/>
    <m/>
    <m/>
    <m/>
    <n v="1"/>
    <n v="520"/>
    <x v="0"/>
    <m/>
    <m/>
    <m/>
    <m/>
    <m/>
    <s v="IRIS REBECA MONTERROSO GARCIA"/>
    <s v="system"/>
  </r>
  <r>
    <n v="1.2511001024820199E+19"/>
    <s v="Union Comercial de Guatemala, S.A. - Banco G&amp;T Continental, S.A."/>
    <x v="0"/>
    <n v="511"/>
    <n v="1"/>
    <x v="0"/>
    <n v="576270"/>
    <d v="2022-07-01T00:00:00"/>
    <x v="0"/>
    <s v="TARJETA"/>
    <s v="GTQ"/>
    <n v="2003"/>
    <m/>
    <m/>
    <m/>
    <n v="1"/>
    <n v="2003"/>
    <x v="0"/>
    <m/>
    <m/>
    <m/>
    <m/>
    <m/>
    <s v="IRIS REBECA MONTERROSO GARCIA"/>
    <s v="system"/>
  </r>
  <r>
    <n v="1.25110023413202E+19"/>
    <s v="Union Comercial de Guatemala, S.A. - Banco de America Central, S.A."/>
    <x v="0"/>
    <n v="511"/>
    <n v="2"/>
    <x v="0"/>
    <n v="176619"/>
    <d v="2022-07-01T00:00:00"/>
    <x v="0"/>
    <s v="CREDOMATIC 6 PAGOS"/>
    <s v="GTQ"/>
    <n v="656"/>
    <m/>
    <m/>
    <m/>
    <n v="1"/>
    <n v="656"/>
    <x v="0"/>
    <m/>
    <m/>
    <m/>
    <m/>
    <m/>
    <s v="LUISA VIVIANA LOPEZ CALDERON"/>
    <s v="system"/>
  </r>
  <r>
    <n v="1.25110010271202E+19"/>
    <s v="Union Comercial de Guatemala, S.A. - Banco G&amp;T Continental, S.A."/>
    <x v="0"/>
    <n v="511"/>
    <n v="1"/>
    <x v="0"/>
    <n v="203630"/>
    <d v="2022-07-01T00:00:00"/>
    <x v="0"/>
    <s v="VISANET 10 PAGOS"/>
    <s v="GTQ"/>
    <n v="5999"/>
    <m/>
    <m/>
    <m/>
    <n v="1"/>
    <n v="5999"/>
    <x v="0"/>
    <m/>
    <m/>
    <m/>
    <m/>
    <m/>
    <s v="IRIS REBECA MONTERROSO GARCIA"/>
    <s v="system"/>
  </r>
  <r>
    <n v="1.2511003167220199E+19"/>
    <s v="Union Comercial de Guatemala, S.A. - Banco G&amp;T Continental, S.A."/>
    <x v="0"/>
    <n v="511"/>
    <n v="3"/>
    <x v="0"/>
    <n v="710704"/>
    <d v="2022-07-01T00:00:00"/>
    <x v="0"/>
    <s v="TARJETA"/>
    <s v="GTQ"/>
    <n v="657"/>
    <m/>
    <m/>
    <m/>
    <n v="1"/>
    <n v="657"/>
    <x v="0"/>
    <m/>
    <m/>
    <m/>
    <m/>
    <m/>
    <s v="BESSY ISABETH LOPEZ PEREZ"/>
    <s v="system"/>
  </r>
  <r>
    <n v="1.25110031671202E+19"/>
    <s v="Union Comercial de Guatemala, S.A. - Banco G&amp;T Continental, S.A."/>
    <x v="0"/>
    <n v="511"/>
    <n v="3"/>
    <x v="0"/>
    <n v="710704"/>
    <d v="2022-07-01T00:00:00"/>
    <x v="0"/>
    <s v="TARJETA"/>
    <s v="GTQ"/>
    <n v="291"/>
    <m/>
    <m/>
    <m/>
    <n v="1"/>
    <n v="291"/>
    <x v="0"/>
    <m/>
    <m/>
    <m/>
    <m/>
    <m/>
    <s v="BESSY ISABETH LOPEZ PEREZ"/>
    <s v="system"/>
  </r>
  <r>
    <n v="1.25110010263202E+19"/>
    <s v="Union Comercial de Guatemala, S.A. - Banco G&amp;T Continental, S.A."/>
    <x v="0"/>
    <n v="511"/>
    <n v="1"/>
    <x v="0"/>
    <n v="249696"/>
    <d v="2022-07-01T00:00:00"/>
    <x v="0"/>
    <s v="TARJETA"/>
    <s v="GTQ"/>
    <n v="187"/>
    <m/>
    <m/>
    <m/>
    <n v="1"/>
    <n v="187"/>
    <x v="0"/>
    <m/>
    <m/>
    <m/>
    <m/>
    <m/>
    <s v="IRIS REBECA MONTERROSO GARCIA"/>
    <s v="system"/>
  </r>
  <r>
    <n v="1.2511003168820199E+19"/>
    <s v="Union Comercial de Guatemala, S.A. - Banco G&amp;T Continental, S.A."/>
    <x v="0"/>
    <n v="511"/>
    <n v="3"/>
    <x v="0"/>
    <n v="171595"/>
    <d v="2022-07-01T00:00:00"/>
    <x v="0"/>
    <s v="VISANET 10 PAGOS"/>
    <s v="GTQ"/>
    <n v="2299"/>
    <m/>
    <m/>
    <m/>
    <n v="1"/>
    <n v="2299"/>
    <x v="0"/>
    <m/>
    <m/>
    <m/>
    <m/>
    <m/>
    <s v="BESSY ISABETH LOPEZ PEREZ"/>
    <s v="system"/>
  </r>
  <r>
    <n v="1.25110010269202E+19"/>
    <s v="Union Comercial de Guatemala, S.A. - Banco G&amp;T Continental, S.A."/>
    <x v="0"/>
    <n v="511"/>
    <n v="1"/>
    <x v="0"/>
    <n v="234359"/>
    <d v="2022-07-01T00:00:00"/>
    <x v="0"/>
    <s v="TARJETA"/>
    <s v="GTQ"/>
    <n v="180"/>
    <m/>
    <m/>
    <m/>
    <n v="1"/>
    <n v="180"/>
    <x v="0"/>
    <m/>
    <m/>
    <m/>
    <m/>
    <m/>
    <s v="IRIS REBECA MONTERROSO GARCIA"/>
    <s v="system"/>
  </r>
  <r>
    <n v="1.2511001024320201E+19"/>
    <s v="Union Comercial de Guatemala, S.A. - Banco G&amp;T Continental, S.A."/>
    <x v="0"/>
    <n v="511"/>
    <n v="1"/>
    <x v="0"/>
    <n v="856755"/>
    <d v="2022-07-01T00:00:00"/>
    <x v="0"/>
    <s v="VISANET 10 PAGOS"/>
    <s v="GTQ"/>
    <n v="8145"/>
    <m/>
    <m/>
    <m/>
    <n v="1"/>
    <n v="8145"/>
    <x v="0"/>
    <m/>
    <m/>
    <m/>
    <m/>
    <m/>
    <s v="IRIS REBECA MONTERROSO GARCIA"/>
    <s v="system"/>
  </r>
  <r>
    <n v="1.25110031678202E+19"/>
    <s v="Union Comercial de Guatemala, S.A. - Banco G&amp;T Continental, S.A."/>
    <x v="0"/>
    <n v="511"/>
    <n v="3"/>
    <x v="0"/>
    <n v="149773"/>
    <d v="2022-07-01T00:00:00"/>
    <x v="0"/>
    <s v="TARJETA"/>
    <s v="GTQ"/>
    <n v="1993"/>
    <m/>
    <m/>
    <m/>
    <n v="1"/>
    <n v="1993"/>
    <x v="0"/>
    <m/>
    <m/>
    <m/>
    <m/>
    <m/>
    <s v="BESSY ISABETH LOPEZ PEREZ"/>
    <s v="system"/>
  </r>
  <r>
    <n v="1.2511003168120199E+19"/>
    <s v="Union Comercial de Guatemala, S.A. - Banco G&amp;T Continental, S.A."/>
    <x v="0"/>
    <n v="511"/>
    <n v="3"/>
    <x v="0"/>
    <n v="170767"/>
    <d v="2022-07-01T00:00:00"/>
    <x v="0"/>
    <s v="TARJETA"/>
    <s v="GTQ"/>
    <n v="1500"/>
    <m/>
    <m/>
    <m/>
    <n v="1"/>
    <n v="1500"/>
    <x v="0"/>
    <m/>
    <m/>
    <m/>
    <m/>
    <m/>
    <s v="BESSY ISABETH LOPEZ PEREZ"/>
    <s v="system"/>
  </r>
  <r>
    <n v="1.25110023412202E+19"/>
    <s v="Union Comercial de Guatemala, S.A. - Banco G&amp;T Continental, S.A."/>
    <x v="0"/>
    <n v="511"/>
    <n v="2"/>
    <x v="0"/>
    <n v="741309"/>
    <d v="2022-07-01T00:00:00"/>
    <x v="0"/>
    <s v="TARJETA"/>
    <s v="GTQ"/>
    <n v="550"/>
    <m/>
    <m/>
    <m/>
    <n v="1"/>
    <n v="550"/>
    <x v="0"/>
    <m/>
    <m/>
    <m/>
    <m/>
    <m/>
    <s v="LUISA VIVIANA LOPEZ CALDERON"/>
    <s v="system"/>
  </r>
  <r>
    <n v="1.25110023415202E+19"/>
    <s v="Union Comercial de Guatemala, S.A. - Banco G&amp;T Continental, S.A."/>
    <x v="0"/>
    <n v="511"/>
    <n v="2"/>
    <x v="0"/>
    <n v="177134"/>
    <d v="2022-07-01T00:00:00"/>
    <x v="0"/>
    <s v="TARJETA"/>
    <s v="GTQ"/>
    <n v="258"/>
    <m/>
    <m/>
    <m/>
    <n v="1"/>
    <n v="258"/>
    <x v="0"/>
    <m/>
    <m/>
    <m/>
    <m/>
    <m/>
    <s v="LUISA VIVIANA LOPEZ CALDERON"/>
    <s v="system"/>
  </r>
  <r>
    <n v="1.25110010270202E+19"/>
    <s v="Union Comercial de Guatemala, S.A. - Banco G&amp;T Continental, S.A."/>
    <x v="0"/>
    <n v="511"/>
    <n v="1"/>
    <x v="0"/>
    <n v="199095"/>
    <d v="2022-07-01T00:00:00"/>
    <x v="0"/>
    <s v="TARJETA"/>
    <s v="GTQ"/>
    <n v="2797"/>
    <m/>
    <m/>
    <m/>
    <n v="1"/>
    <n v="2797"/>
    <x v="0"/>
    <m/>
    <m/>
    <m/>
    <m/>
    <m/>
    <s v="IRIS REBECA MONTERROSO GARCIA"/>
    <s v="system"/>
  </r>
  <r>
    <n v="1.2511001025020201E+19"/>
    <s v="Union Comercial de Guatemala, S.A. - Banco G&amp;T Continental, S.A."/>
    <x v="0"/>
    <n v="511"/>
    <n v="1"/>
    <x v="0"/>
    <n v="912353"/>
    <d v="2022-07-01T00:00:00"/>
    <x v="0"/>
    <s v="TARJETA"/>
    <s v="GTQ"/>
    <n v="1497"/>
    <m/>
    <m/>
    <m/>
    <n v="1"/>
    <n v="1497"/>
    <x v="0"/>
    <m/>
    <m/>
    <m/>
    <m/>
    <m/>
    <s v="IRIS REBECA MONTERROSO GARCIA"/>
    <s v="system"/>
  </r>
  <r>
    <n v="1.2511001024820199E+19"/>
    <s v="Union Comercial de Guatemala, S.A. - Banco G&amp;T Continental, S.A."/>
    <x v="0"/>
    <n v="511"/>
    <n v="1"/>
    <x v="0"/>
    <n v="135171"/>
    <d v="2022-07-01T00:00:00"/>
    <x v="0"/>
    <s v="TARJETA"/>
    <s v="GTQ"/>
    <n v="3391"/>
    <m/>
    <m/>
    <m/>
    <n v="1"/>
    <n v="3391"/>
    <x v="0"/>
    <m/>
    <m/>
    <m/>
    <m/>
    <m/>
    <s v="IRIS REBECA MONTERROSO GARCIA"/>
    <s v="system"/>
  </r>
  <r>
    <n v="1.25110031676202E+19"/>
    <s v="Union Comercial de Guatemala, S.A. - Banco G&amp;T Continental, S.A."/>
    <x v="0"/>
    <n v="511"/>
    <n v="3"/>
    <x v="0"/>
    <n v="215859"/>
    <d v="2022-07-01T00:00:00"/>
    <x v="0"/>
    <s v="TARJETA"/>
    <s v="GTQ"/>
    <n v="684"/>
    <m/>
    <m/>
    <m/>
    <n v="1"/>
    <n v="684"/>
    <x v="0"/>
    <m/>
    <m/>
    <m/>
    <m/>
    <m/>
    <s v="BESSY ISABETH LOPEZ PEREZ"/>
    <s v="system"/>
  </r>
  <r>
    <n v="1.25110031687202E+19"/>
    <s v="Union Comercial de Guatemala, S.A. - Banco G&amp;T Continental, S.A."/>
    <x v="0"/>
    <n v="511"/>
    <n v="3"/>
    <x v="0"/>
    <n v="170068"/>
    <d v="2022-07-01T00:00:00"/>
    <x v="0"/>
    <s v="TARJETA"/>
    <s v="GTQ"/>
    <n v="1000"/>
    <m/>
    <m/>
    <m/>
    <n v="1"/>
    <n v="1000"/>
    <x v="0"/>
    <m/>
    <m/>
    <m/>
    <m/>
    <m/>
    <s v="BESSY ISABETH LOPEZ PEREZ"/>
    <s v="system"/>
  </r>
  <r>
    <n v="1.25110010262202E+19"/>
    <s v="Union Comercial de Guatemala, S.A. - Banco G&amp;T Continental, S.A."/>
    <x v="0"/>
    <n v="511"/>
    <n v="1"/>
    <x v="0"/>
    <n v="269125"/>
    <d v="2022-07-01T00:00:00"/>
    <x v="0"/>
    <s v="VISANET 10 PAGOS"/>
    <s v="GTQ"/>
    <n v="4679"/>
    <m/>
    <m/>
    <m/>
    <n v="1"/>
    <n v="4679"/>
    <x v="0"/>
    <m/>
    <m/>
    <m/>
    <m/>
    <m/>
    <s v="IRIS REBECA MONTERROSO GARCIA"/>
    <s v="system"/>
  </r>
  <r>
    <n v="1.2511003167420201E+19"/>
    <s v="Union Comercial de Guatemala, S.A. - Banco G&amp;T Continental, S.A."/>
    <x v="0"/>
    <n v="511"/>
    <n v="3"/>
    <x v="0"/>
    <n v="602276"/>
    <d v="2022-07-01T00:00:00"/>
    <x v="0"/>
    <s v="TARJETA"/>
    <s v="GTQ"/>
    <n v="65"/>
    <m/>
    <m/>
    <m/>
    <n v="1"/>
    <n v="65"/>
    <x v="0"/>
    <m/>
    <m/>
    <m/>
    <m/>
    <m/>
    <s v="BESSY ISABETH LOPEZ PEREZ"/>
    <s v="system"/>
  </r>
  <r>
    <n v="1.25110010255202E+19"/>
    <s v="Union Comercial de Guatemala, S.A. - Banco G&amp;T Continental, S.A."/>
    <x v="0"/>
    <n v="511"/>
    <n v="1"/>
    <x v="0"/>
    <n v="262010"/>
    <d v="2022-07-01T00:00:00"/>
    <x v="0"/>
    <s v="TARJETA"/>
    <s v="GTQ"/>
    <n v="504"/>
    <m/>
    <m/>
    <m/>
    <n v="1"/>
    <n v="504"/>
    <x v="0"/>
    <m/>
    <m/>
    <m/>
    <m/>
    <m/>
    <s v="IRIS REBECA MONTERROSO GARCIA"/>
    <s v="system"/>
  </r>
  <r>
    <n v="1.2511002341920201E+19"/>
    <s v="Union Comercial de Guatemala, S.A. - Banco de America Central, S.A."/>
    <x v="0"/>
    <n v="511"/>
    <n v="2"/>
    <x v="0"/>
    <n v="17438"/>
    <d v="2022-07-01T00:00:00"/>
    <x v="0"/>
    <s v="TARJETA"/>
    <s v="GTQ"/>
    <n v="545"/>
    <m/>
    <m/>
    <m/>
    <n v="1"/>
    <n v="545"/>
    <x v="0"/>
    <m/>
    <m/>
    <m/>
    <m/>
    <m/>
    <s v="LUISA VIVIANA LOPEZ CALDERON"/>
    <s v="system"/>
  </r>
  <r>
    <n v="1.25110023420202E+19"/>
    <s v="Union Comercial de Guatemala, S.A. - Banco de America Central, S.A."/>
    <x v="0"/>
    <n v="511"/>
    <n v="2"/>
    <x v="0"/>
    <n v="185606"/>
    <d v="2022-07-01T00:00:00"/>
    <x v="0"/>
    <s v="CREDOMATIC 36 PAGOS"/>
    <s v="GTQ"/>
    <n v="1197"/>
    <m/>
    <m/>
    <m/>
    <n v="1"/>
    <n v="1197"/>
    <x v="0"/>
    <m/>
    <m/>
    <m/>
    <m/>
    <m/>
    <s v="LUISA VIVIANA LOPEZ CALDERON"/>
    <s v="system"/>
  </r>
  <r>
    <n v="1.2511002341620199E+19"/>
    <s v="Union Comercial de Guatemala, S.A. - Banco G&amp;T Continental, S.A."/>
    <x v="0"/>
    <n v="511"/>
    <n v="2"/>
    <x v="0"/>
    <n v="177134"/>
    <d v="2022-07-01T00:00:00"/>
    <x v="0"/>
    <s v="TARJETA"/>
    <s v="GTQ"/>
    <n v="284"/>
    <m/>
    <m/>
    <m/>
    <n v="1"/>
    <n v="284"/>
    <x v="0"/>
    <m/>
    <m/>
    <m/>
    <m/>
    <m/>
    <s v="LUISA VIVIANA LOPEZ CALDERON"/>
    <s v="system"/>
  </r>
  <r>
    <n v="1.2511001025820201E+19"/>
    <s v="Union Comercial de Guatemala, S.A. - Banco G&amp;T Continental, S.A."/>
    <x v="0"/>
    <n v="511"/>
    <n v="1"/>
    <x v="0"/>
    <n v="953246"/>
    <d v="2022-07-01T00:00:00"/>
    <x v="0"/>
    <s v="TARJETA"/>
    <s v="GTQ"/>
    <n v="1000"/>
    <m/>
    <m/>
    <m/>
    <n v="1"/>
    <n v="1000"/>
    <x v="0"/>
    <m/>
    <m/>
    <m/>
    <m/>
    <m/>
    <s v="IRIS REBECA MONTERROSO GARCIA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d v="2022-07-01T00:00:00"/>
    <s v="CSH"/>
    <s v="12511000117120220729"/>
    <x v="0"/>
    <n v="12511"/>
    <x v="0"/>
    <n v="3"/>
    <s v="NOC"/>
    <x v="0"/>
    <n v="85088364"/>
    <s v="000-000908-4"/>
    <s v="Banco Industrial, S.A."/>
    <s v="GTQ"/>
    <n v="8475.4"/>
    <m/>
    <m/>
    <m/>
    <n v="8475.4"/>
    <m/>
    <n v="1"/>
    <n v="8475.4"/>
    <m/>
    <m/>
    <m/>
    <s v="BESSY ISABETH LOPEZ PEREZ"/>
    <m/>
  </r>
  <r>
    <x v="0"/>
    <d v="2022-07-01T00:00:00"/>
    <s v="CSH"/>
    <s v="12511000117220220729"/>
    <x v="0"/>
    <n v="12511"/>
    <x v="0"/>
    <n v="2"/>
    <s v="NOC"/>
    <x v="0"/>
    <n v="85088299"/>
    <s v="000-000908-4"/>
    <s v="Banco Industrial, S.A."/>
    <s v="GTQ"/>
    <n v="3635.95"/>
    <m/>
    <m/>
    <m/>
    <n v="3635.95"/>
    <m/>
    <n v="1"/>
    <n v="3635.95"/>
    <m/>
    <m/>
    <m/>
    <s v="BESSY ISABETH LOPEZ PEREZ"/>
    <m/>
  </r>
  <r>
    <x v="0"/>
    <d v="2022-07-01T00:00:00"/>
    <s v="CSH"/>
    <s v="12511000117320220729"/>
    <x v="0"/>
    <n v="12511"/>
    <x v="0"/>
    <n v="1"/>
    <s v="NOC"/>
    <x v="0"/>
    <n v="80573087"/>
    <s v="000-000908-4"/>
    <s v="Banco Industrial, S.A."/>
    <s v="GTQ"/>
    <n v="6197.05"/>
    <m/>
    <m/>
    <m/>
    <n v="6197.05"/>
    <m/>
    <n v="1"/>
    <n v="6197.05"/>
    <m/>
    <m/>
    <m/>
    <s v="IRIS REBECA MONTERROSO GARCIA"/>
    <m/>
  </r>
  <r>
    <x v="1"/>
    <d v="2022-07-01T00:00:00"/>
    <s v="CSH"/>
    <s v="12511000117320220729"/>
    <x v="0"/>
    <n v="12511"/>
    <x v="0"/>
    <n v="1"/>
    <s v="NOC"/>
    <x v="0"/>
    <n v="80573344"/>
    <s v="000-063091-3"/>
    <s v="Banco Industrial, S.A."/>
    <s v="GTQ"/>
    <n v="7309.8"/>
    <m/>
    <m/>
    <m/>
    <n v="7309.8"/>
    <m/>
    <n v="1"/>
    <n v="7309.8"/>
    <m/>
    <m/>
    <m/>
    <s v="IRIS REBECA MONTERROSO GARCIA"/>
    <m/>
  </r>
  <r>
    <x v="2"/>
    <d v="2022-07-01T00:00:00"/>
    <s v="CSH"/>
    <s v="12511000117220220729"/>
    <x v="0"/>
    <n v="12511"/>
    <x v="0"/>
    <n v="2"/>
    <s v="NRGL"/>
    <x v="0"/>
    <n v="7942982"/>
    <s v="066-0030603-2"/>
    <s v="Banco G&amp;T C"/>
    <s v="GTQ"/>
    <n v="640"/>
    <m/>
    <m/>
    <m/>
    <n v="640"/>
    <m/>
    <n v="1"/>
    <n v="640"/>
    <m/>
    <m/>
    <m/>
    <s v="BESSY ISABETH LOPEZ PEREZ"/>
    <m/>
  </r>
  <r>
    <x v="2"/>
    <d v="2022-07-01T00:00:00"/>
    <s v="CSH"/>
    <s v="12511000117320220729"/>
    <x v="0"/>
    <n v="12511"/>
    <x v="0"/>
    <n v="1"/>
    <s v="NRGL"/>
    <x v="0"/>
    <n v="7942427"/>
    <s v="066-0030603-2"/>
    <s v="Banco G&amp;T C"/>
    <s v="GTQ"/>
    <n v="691"/>
    <m/>
    <m/>
    <m/>
    <n v="691"/>
    <m/>
    <n v="1"/>
    <n v="691"/>
    <m/>
    <m/>
    <m/>
    <s v="IRIS REBECA MONTERROSO GARCIA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LA CURACAO"/>
    <x v="0"/>
    <x v="0"/>
    <n v="3"/>
    <x v="0"/>
    <n v="1673"/>
    <s v="12511003167320220729"/>
    <m/>
    <m/>
    <s v="79596257468403977"/>
    <m/>
    <s v="Factura Consumidor Final"/>
    <x v="0"/>
    <x v="0"/>
    <x v="0"/>
    <n v="630"/>
    <s v=""/>
    <s v=""/>
    <s v="BYRON   RAMIREZ  "/>
    <m/>
    <m/>
    <m/>
  </r>
  <r>
    <s v="LA CURACAO"/>
    <x v="0"/>
    <x v="0"/>
    <n v="1"/>
    <x v="0"/>
    <n v="250"/>
    <s v="12511001025020220729"/>
    <m/>
    <m/>
    <s v="53624EC9504318834"/>
    <m/>
    <s v="Factura Consumidor Final"/>
    <x v="1"/>
    <x v="1"/>
    <x v="0"/>
    <n v="1497"/>
    <s v="125112252201T9"/>
    <s v=""/>
    <s v="JUAN CARLOS  POP SAGUI "/>
    <s v="BANCO DE DESARROLLO RURAL, S.A"/>
    <m/>
    <s v="Card"/>
  </r>
  <r>
    <s v="LA CURACAO"/>
    <x v="0"/>
    <x v="0"/>
    <n v="3"/>
    <x v="0"/>
    <n v="1669"/>
    <s v="12511003166920220729"/>
    <m/>
    <m/>
    <s v="8AE9F7FF3029946192"/>
    <m/>
    <s v="Factura Consumidor Final"/>
    <x v="1"/>
    <x v="0"/>
    <x v="0"/>
    <n v="117"/>
    <s v="125112032203S2"/>
    <s v=""/>
    <s v="MARIA DEL ROSARIO  AGUILAR  "/>
    <m/>
    <m/>
    <m/>
  </r>
  <r>
    <s v="LA CURACAO"/>
    <x v="0"/>
    <x v="0"/>
    <n v="1"/>
    <x v="0"/>
    <n v="243"/>
    <s v="12511001024320220729"/>
    <m/>
    <m/>
    <s v="9C912B45379405547"/>
    <m/>
    <s v="Factura Consumidor Final"/>
    <x v="1"/>
    <x v="1"/>
    <x v="0"/>
    <n v="8145"/>
    <s v="125112182203BC"/>
    <s v=""/>
    <s v="BYRON   RAMIREZ  "/>
    <s v="BANCO DE DESARROLLO RURAL, S.A"/>
    <m/>
    <s v="Visanet10Pagos"/>
  </r>
  <r>
    <s v="LA CURACAO"/>
    <x v="0"/>
    <x v="0"/>
    <n v="1"/>
    <x v="0"/>
    <n v="270"/>
    <s v="12511001027020220729"/>
    <m/>
    <m/>
    <s v="9E657C733213643425"/>
    <m/>
    <s v="Factura Consumidor Final"/>
    <x v="1"/>
    <x v="1"/>
    <x v="0"/>
    <n v="2797"/>
    <s v="1251121922035D"/>
    <s v=""/>
    <s v="BYRON   SOL  "/>
    <s v="BANCO GYT CONTINENTAL, S.A.|06"/>
    <m/>
    <s v="Card"/>
  </r>
  <r>
    <s v="LA CURACAO"/>
    <x v="0"/>
    <x v="0"/>
    <n v="3"/>
    <x v="0"/>
    <n v="1678"/>
    <s v="12511003167820220729"/>
    <m/>
    <m/>
    <s v="45306467271142568"/>
    <m/>
    <s v="Factura Consumidor Final"/>
    <x v="1"/>
    <x v="1"/>
    <x v="0"/>
    <n v="3985"/>
    <s v="125112022203LB"/>
    <s v=""/>
    <s v="GIMMICK COMPANY   SA  "/>
    <s v="BANCO INDUSTRIAL, S.A.|000-063"/>
    <m/>
    <s v="Card"/>
  </r>
  <r>
    <s v="LA CURACAO"/>
    <x v="0"/>
    <x v="0"/>
    <n v="1"/>
    <x v="0"/>
    <n v="253"/>
    <s v="12511001025320220729"/>
    <m/>
    <m/>
    <s v="8311404D2586396128"/>
    <m/>
    <s v="Factura Consumidor Final"/>
    <x v="1"/>
    <x v="0"/>
    <x v="0"/>
    <n v="1359.15"/>
    <s v="12511219220350"/>
    <s v=""/>
    <s v="FUNDACION RED DE SOBREVIVIENTES DE VIOLE"/>
    <m/>
    <m/>
    <m/>
  </r>
  <r>
    <s v="LA CURACAO"/>
    <x v="0"/>
    <x v="0"/>
    <n v="2"/>
    <x v="0"/>
    <n v="3433"/>
    <s v="12511002343320220729"/>
    <m/>
    <m/>
    <s v="17B788332981775132"/>
    <m/>
    <s v="Factura Consumidor Final"/>
    <x v="1"/>
    <x v="0"/>
    <x v="0"/>
    <n v="324"/>
    <s v="12511219220355"/>
    <s v=""/>
    <s v="ESTEPHANY ALEXANDRA TELLO GARCIA"/>
    <m/>
    <m/>
    <m/>
  </r>
  <r>
    <s v="LA CURACAO"/>
    <x v="0"/>
    <x v="0"/>
    <n v="2"/>
    <x v="0"/>
    <n v="3424"/>
    <s v="12511002342420220729"/>
    <m/>
    <m/>
    <s v="BD47B77F3273213767"/>
    <m/>
    <s v="Factura Consumidor Final"/>
    <x v="1"/>
    <x v="0"/>
    <x v="0"/>
    <n v="179"/>
    <s v="125112252201T8"/>
    <s v=""/>
    <s v="SULMA    CASTELLANOS  "/>
    <m/>
    <m/>
    <m/>
  </r>
  <r>
    <s v="LA CURACAO"/>
    <x v="0"/>
    <x v="0"/>
    <n v="1"/>
    <x v="0"/>
    <n v="262"/>
    <s v="12511001026220220729"/>
    <m/>
    <m/>
    <s v="2BF2A8FF1770407811"/>
    <m/>
    <s v="Factura Consumidor Final"/>
    <x v="1"/>
    <x v="1"/>
    <x v="0"/>
    <n v="4679"/>
    <s v="125112282201D7"/>
    <s v=""/>
    <s v="ENRIQUE    ROMERO  "/>
    <s v="BANCO PROMERICA, S.A.|1-233105"/>
    <m/>
    <s v="Visanet10Pagos"/>
  </r>
  <r>
    <s v="LA CURACAO"/>
    <x v="0"/>
    <x v="0"/>
    <n v="3"/>
    <x v="0"/>
    <n v="1686"/>
    <s v="12511003168620220729"/>
    <m/>
    <m/>
    <s v="3226DACB104156093"/>
    <m/>
    <s v="Factura Consumidor Final"/>
    <x v="0"/>
    <x v="0"/>
    <x v="0"/>
    <n v="30"/>
    <s v=""/>
    <s v=""/>
    <m/>
    <m/>
    <m/>
    <m/>
  </r>
  <r>
    <s v="LA CURACAO"/>
    <x v="0"/>
    <x v="0"/>
    <n v="2"/>
    <x v="0"/>
    <n v="3407"/>
    <s v="12511002340720220729"/>
    <m/>
    <m/>
    <s v="01236B033204138439"/>
    <m/>
    <s v="Factura Consumidor Final"/>
    <x v="0"/>
    <x v="0"/>
    <x v="0"/>
    <n v="10"/>
    <s v=""/>
    <s v=""/>
    <m/>
    <m/>
    <m/>
    <m/>
  </r>
  <r>
    <s v="LA CURACAO"/>
    <x v="0"/>
    <x v="0"/>
    <n v="1"/>
    <x v="0"/>
    <n v="271"/>
    <s v="12511001027120220729"/>
    <m/>
    <m/>
    <s v="C56AC2DE3414638904"/>
    <m/>
    <s v="Factura Consumidor Final"/>
    <x v="1"/>
    <x v="1"/>
    <x v="0"/>
    <n v="5999"/>
    <s v="125112182203BN"/>
    <s v=""/>
    <s v="CARIN PAOLA  QUEME CAC DE GARCIA"/>
    <s v="BANCO INDUSTRIAL, S.A.|000-063"/>
    <m/>
    <s v="Visanet10Pagos"/>
  </r>
  <r>
    <s v="LA CURACAO"/>
    <x v="0"/>
    <x v="0"/>
    <n v="2"/>
    <x v="0"/>
    <n v="3423"/>
    <s v="12511002342320220729"/>
    <m/>
    <m/>
    <s v="0DBF0BA94250289105"/>
    <m/>
    <s v="Factura Consumidor Final"/>
    <x v="1"/>
    <x v="0"/>
    <x v="0"/>
    <n v="4197"/>
    <s v="125112252201T7"/>
    <s v=""/>
    <s v="JORGE MARIO  SANTIZO GARCIA "/>
    <m/>
    <m/>
    <m/>
  </r>
  <r>
    <s v="LA CURACAO"/>
    <x v="0"/>
    <x v="0"/>
    <n v="2"/>
    <x v="0"/>
    <n v="3413"/>
    <s v="12511002341320220729"/>
    <m/>
    <m/>
    <s v="8DFC3D69702236426"/>
    <m/>
    <s v="Factura Consumidor Final"/>
    <x v="1"/>
    <x v="1"/>
    <x v="0"/>
    <n v="656"/>
    <s v="125112182203BF"/>
    <s v=""/>
    <s v="ORLANDO    BALTAZAR  "/>
    <s v="BANCO DE AMÉRICA CENTRAL, S.A"/>
    <m/>
    <s v="Credomatic6Pagos"/>
  </r>
  <r>
    <s v="LA CURACAO"/>
    <x v="0"/>
    <x v="0"/>
    <n v="3"/>
    <x v="0"/>
    <n v="1688"/>
    <s v="12511003168820220729"/>
    <m/>
    <m/>
    <s v="CCC751D72695580662"/>
    <m/>
    <s v="Factura Consumidor Final"/>
    <x v="1"/>
    <x v="1"/>
    <x v="0"/>
    <n v="2299"/>
    <s v="125112292201NN"/>
    <s v=""/>
    <s v="IRMA   DE LA CERDA  "/>
    <s v="BANCO INDUSTRIAL, S.A.|000-063"/>
    <m/>
    <s v="Visanet10Pagos"/>
  </r>
  <r>
    <s v="LA CURACAO"/>
    <x v="0"/>
    <x v="0"/>
    <n v="1"/>
    <x v="0"/>
    <n v="248"/>
    <s v="12511001024820220729"/>
    <m/>
    <m/>
    <s v="59F874C21654476277"/>
    <m/>
    <s v="Factura Consumidor Final"/>
    <x v="1"/>
    <x v="1"/>
    <x v="0"/>
    <n v="3391"/>
    <s v="125112232202HK"/>
    <s v=""/>
    <s v="EDITH   SAPON  "/>
    <s v="BANCO GYT CONTINENTAL, S.A.|06"/>
    <m/>
    <s v="Card"/>
  </r>
  <r>
    <s v="LA CURACAO"/>
    <x v="0"/>
    <x v="0"/>
    <n v="1"/>
    <x v="0"/>
    <n v="248"/>
    <s v="12511001024820220729"/>
    <m/>
    <m/>
    <s v="59F874C21654476277"/>
    <m/>
    <s v="Factura Consumidor Final"/>
    <x v="1"/>
    <x v="1"/>
    <x v="0"/>
    <n v="2003"/>
    <s v="125112232202HK"/>
    <s v=""/>
    <s v="EDITH   SAPON  "/>
    <s v="BANCO PROMERICA, S.A.|1-233105"/>
    <m/>
    <s v="Card"/>
  </r>
  <r>
    <s v="LA CURACAO"/>
    <x v="0"/>
    <x v="0"/>
    <n v="1"/>
    <x v="0"/>
    <n v="244"/>
    <s v="12511001024420220729"/>
    <m/>
    <m/>
    <s v="54487406611798767"/>
    <m/>
    <s v="Factura Consumidor Final"/>
    <x v="0"/>
    <x v="0"/>
    <x v="0"/>
    <n v="10"/>
    <s v=""/>
    <s v=""/>
    <m/>
    <m/>
    <m/>
    <m/>
  </r>
  <r>
    <s v="LA CURACAO"/>
    <x v="0"/>
    <x v="0"/>
    <n v="2"/>
    <x v="0"/>
    <n v="3420"/>
    <s v="12511002342020220729"/>
    <m/>
    <m/>
    <s v="BC44C1A1879251003"/>
    <m/>
    <s v="Factura Consumidor Final"/>
    <x v="1"/>
    <x v="1"/>
    <x v="0"/>
    <n v="1197"/>
    <s v="125112022203LD"/>
    <s v=""/>
    <s v="MARIO   LAU  "/>
    <s v="BANCO DE AMÉRICA CENTRAL, S.A"/>
    <m/>
    <s v="Credomatic36Pagos"/>
  </r>
  <r>
    <s v="LA CURACAO"/>
    <x v="0"/>
    <x v="0"/>
    <n v="1"/>
    <x v="0"/>
    <n v="260"/>
    <s v="12511001026020220729"/>
    <m/>
    <m/>
    <s v="64C276104014099954"/>
    <m/>
    <s v="Factura Consumidor Final"/>
    <x v="1"/>
    <x v="0"/>
    <x v="0"/>
    <n v="5297"/>
    <s v="125112182203BJ"/>
    <s v=""/>
    <s v="ELDER ALEXANDER ANDRES"/>
    <m/>
    <m/>
    <m/>
  </r>
  <r>
    <s v="LA CURACAO"/>
    <x v="0"/>
    <x v="0"/>
    <n v="2"/>
    <x v="0"/>
    <n v="3431"/>
    <s v="12511002343120220729"/>
    <m/>
    <m/>
    <s v="3C61B1813043772851"/>
    <m/>
    <s v="Factura Consumidor Final"/>
    <x v="1"/>
    <x v="0"/>
    <x v="0"/>
    <n v="99"/>
    <s v="125112272201N6"/>
    <s v=""/>
    <s v="LUIS    DE LEON   "/>
    <m/>
    <m/>
    <m/>
  </r>
  <r>
    <s v="LA CURACAO"/>
    <x v="0"/>
    <x v="0"/>
    <n v="1"/>
    <x v="0"/>
    <n v="256"/>
    <s v="12511001025620220729"/>
    <m/>
    <m/>
    <s v="CF73AD733932441072"/>
    <m/>
    <s v="Factura Consumidor Final"/>
    <x v="1"/>
    <x v="0"/>
    <x v="0"/>
    <n v="5297"/>
    <s v="125112272201N2"/>
    <s v=""/>
    <s v="ELDER ALEXANDER ANDRES"/>
    <m/>
    <m/>
    <m/>
  </r>
  <r>
    <s v="LA CURACAO"/>
    <x v="0"/>
    <x v="0"/>
    <n v="1"/>
    <x v="0"/>
    <n v="263"/>
    <s v="12511001026320220729"/>
    <m/>
    <m/>
    <s v="CAB081642191016553"/>
    <m/>
    <s v="Factura Consumidor Final"/>
    <x v="1"/>
    <x v="1"/>
    <x v="0"/>
    <n v="187"/>
    <s v="125112272201NB"/>
    <s v=""/>
    <s v="MAYRA   BENAVENTE  "/>
    <s v="BANCO INDUSTRIAL, S.A.|000-063"/>
    <m/>
    <s v="Car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BC57FD-9C9C-4B26-8DE9-EA69ADB40118}" name="Tbl Dinamica Tarjetas" cacheId="23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8F482F-0249-4E1B-9F58-2B389C405D3E}" name="Tbl Dinamica Depositos" cacheId="24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E8" firstHeaderRow="1" firstDataRow="2" firstDataCol="1"/>
  <pivotFields count="27">
    <pivotField axis="axisCol" showAll="0">
      <items count="4">
        <item x="2"/>
        <item x="1"/>
        <item x="0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0FE541-9965-4836-A674-91518E3BC27C}" name="Tbl Dinamica Transaccional" cacheId="25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H12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8">
    <i>
      <x/>
      <x/>
      <x/>
      <x/>
      <x/>
    </i>
    <i t="default" r="3">
      <x/>
    </i>
    <i r="3">
      <x v="1"/>
      <x/>
    </i>
    <i t="default" r="3">
      <x v="1"/>
    </i>
    <i t="default" r="2">
      <x/>
    </i>
    <i t="default" r="1">
      <x/>
    </i>
    <i t="default">
      <x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E9951-BD31-414B-86C6-7A14526199EA}" name="Tabla4" displayName="Tabla4" ref="A1:R9" totalsRowShown="0">
  <autoFilter ref="A1:R9" xr:uid="{1D3E9951-BD31-414B-86C6-7A14526199EA}"/>
  <tableColumns count="18">
    <tableColumn id="1" xr3:uid="{255CF547-30EB-4880-8D7E-2842CDD925FD}" name="TIENDA"/>
    <tableColumn id="2" xr3:uid="{D3FD5846-7C24-4E3A-BF43-56815291DCA0}" name="CDA"/>
    <tableColumn id="3" xr3:uid="{F19E7F0C-5316-46BB-825B-C59F0C703241}" name="FECHA TRANSACCION"/>
    <tableColumn id="4" xr3:uid="{60C2E73E-1CC6-4CC5-9CD9-6EDFE14853BB}" name="TRANSACCIONES CAJA"/>
    <tableColumn id="5" xr3:uid="{672DB052-7BF7-4FAF-B0C4-4E76700030B3}" name="CODIGO DE RAZON"/>
    <tableColumn id="6" xr3:uid="{3D591CD5-3686-490B-B400-AFAE9687B363}" name="Efectivo"/>
    <tableColumn id="7" xr3:uid="{8E4845A2-3B44-4D41-9029-F845B501ED2C}" name="Tarjeta de Credito"/>
    <tableColumn id="8" xr3:uid="{7F810F1E-F509-4573-B0FB-30E21ECF6031}" name="Total general"/>
    <tableColumn id="9" xr3:uid="{1176EB80-025D-40F7-B773-17EC5669845B}" name="CIA"/>
    <tableColumn id="10" xr3:uid="{A5DB3466-8005-4259-9E0B-3E8F7B86893D}" name="INHOUSE DEP-TC"/>
    <tableColumn id="11" xr3:uid="{99F84623-DBDD-4DEF-86CF-C0AFE6EF3E52}" name="INGRESOS CORTE DE CAJA"/>
    <tableColumn id="12" xr3:uid="{99533BC2-E7A9-4979-B4EC-A64A5D46CBEB}" name="CIERRE P.O.S."/>
    <tableColumn id="13" xr3:uid="{448C95B8-8FC6-46A3-AB70-1D6785314F70}" name="VENTAS TC INTERNET"/>
    <tableColumn id="14" xr3:uid="{07F20CF3-612A-4476-8D46-B9117452282A}" name="VISALINK"/>
    <tableColumn id="15" xr3:uid="{0D63E4DB-1889-4A27-B887-933B1961AAB4}" name="TRASLADOS"/>
    <tableColumn id="16" xr3:uid="{6AED824B-3F20-4B64-B1FA-419FAAD82676}" name="DIFERENCIA"/>
    <tableColumn id="17" xr3:uid="{C60175CC-E21C-4A06-B98E-33C364540B66}" name="OBSERVACIÓN"/>
    <tableColumn id="18" xr3:uid="{FD8EF230-BAAF-4E38-9281-111483FE7F82}" name="Columna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817780-976A-4876-B58D-CE91B4FD935F}" name="Tabla1" displayName="Tabla1" ref="A1:Y30" totalsRowShown="0" headerRowDxfId="11" headerRowBorderDxfId="10" tableBorderDxfId="9">
  <autoFilter ref="A1:Y30" xr:uid="{90817780-976A-4876-B58D-CE91B4FD935F}"/>
  <tableColumns count="25">
    <tableColumn id="1" xr3:uid="{DC5E2169-43FF-4514-ACD8-0E7FADBCAC1E}" name="NÚMERO TRANSACCION"/>
    <tableColumn id="2" xr3:uid="{0D76086A-4D76-4F83-97C0-BD25161EA1BA}" name="DESC CUENTA"/>
    <tableColumn id="3" xr3:uid="{EEA03EF0-EE1D-4CB9-B492-1AFC68F2B876}" name="CENTRO ANALISIS"/>
    <tableColumn id="4" xr3:uid="{B7220BBC-8443-4D18-8125-7995DB07266F}" name="RI"/>
    <tableColumn id="5" xr3:uid="{8E7CE146-8C91-4F0E-8CE3-5FD44BE11A3E}" name="NO CAJA"/>
    <tableColumn id="6" xr3:uid="{08D559FE-2649-4F93-865F-C542155C5B11}" name="DESC ALMACEN"/>
    <tableColumn id="7" xr3:uid="{F97B491D-492C-42E2-91BC-E27B41100743}" name="REFERENCIA"/>
    <tableColumn id="8" xr3:uid="{AD1AEF78-5D23-4CD1-B7E3-046509AC4B20}" name="PERIODO CONTABLE" dataDxfId="8"/>
    <tableColumn id="9" xr3:uid="{8137755B-B8E5-4630-B62F-0C848CE0C9BB}" name="FECHA AUTORIZACIÓN"/>
    <tableColumn id="10" xr3:uid="{91F80CEC-A438-417F-BF03-06BECBCAA1CC}" name="TIPO PROMOCIÓN"/>
    <tableColumn id="11" xr3:uid="{32D952B4-332E-4B13-A276-D1CF93E8661C}" name="MONEDA"/>
    <tableColumn id="12" xr3:uid="{CFE2F82E-1665-4A26-87DD-019564B439C4}" name="MONTO"/>
    <tableColumn id="13" xr3:uid="{C451F4C3-2C5E-4D7A-81D6-650AA55CDDCD}" name="NUMERO CONFIRMADO"/>
    <tableColumn id="14" xr3:uid="{7DC0EA88-0BBE-41A6-8807-3D3C585F5492}" name="Monto Confirmado"/>
    <tableColumn id="15" xr3:uid="{083C7239-D78F-4230-8A6D-CDA23DBF5942}" name="Diferencia"/>
    <tableColumn id="16" xr3:uid="{EFC19E57-CE2F-4674-B397-4F428A1FB6CF}" name="TASA DE CAMBIO"/>
    <tableColumn id="17" xr3:uid="{70966397-0615-48D4-856A-1296F76B94B4}" name="MONTO MNL"/>
    <tableColumn id="18" xr3:uid="{F9414C2E-860D-424D-92E2-2A6F8DF2FE09}" name="ESTADO"/>
    <tableColumn id="19" xr3:uid="{1162EE3C-8A55-48EC-A83B-B3667275F272}" name="FECHA BANCO"/>
    <tableColumn id="20" xr3:uid="{C3CB353F-28E0-4AF3-9A85-9371F758F91D}" name="NÚMERO DE DEPOSITO"/>
    <tableColumn id="21" xr3:uid="{EDD70457-3AD6-43A9-A265-B7827056982E}" name="NÚMERO CCF"/>
    <tableColumn id="22" xr3:uid="{2718EB7A-8476-41C7-8EE9-11C09E9AF23A}" name="FECHA CONFIRMACION"/>
    <tableColumn id="23" xr3:uid="{6D0B5AEA-6EDD-4075-BC8C-5D268A629649}" name="FECHA CONTABLE"/>
    <tableColumn id="24" xr3:uid="{285EFA8A-F8EA-4D00-8A96-B645C824BE95}" name="EMPLEADO"/>
    <tableColumn id="25" xr3:uid="{3DCB4025-DC23-4664-8D1A-86B86F27CF7F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7BC533-B95D-4F2C-94DD-6283EC7D4DD8}" name="Tabla2" displayName="Tabla2" ref="A1:AA7" totalsRowShown="0" headerRowDxfId="7" headerRowBorderDxfId="6" tableBorderDxfId="5">
  <autoFilter ref="A1:AA7" xr:uid="{497BC533-B95D-4F2C-94DD-6283EC7D4DD8}"/>
  <tableColumns count="27">
    <tableColumn id="1" xr3:uid="{48015FF6-DA90-471E-B5A5-362BE609809D}" name="Compañia"/>
    <tableColumn id="2" xr3:uid="{D915EFA8-7C7B-4D55-8585-AA6744BD9AF0}" name="Período" dataDxfId="4"/>
    <tableColumn id="3" xr3:uid="{59796F3B-91F9-43EA-9D6A-0F97B18896F2}" name="Tipo"/>
    <tableColumn id="4" xr3:uid="{8B504371-D6F1-4F9C-8A44-99AB1161201F}" name="Número Transacción"/>
    <tableColumn id="5" xr3:uid="{BCA609A1-28D9-4C90-8C41-197C4470934A}" name="Centro Analisis"/>
    <tableColumn id="6" xr3:uid="{7239D54D-4AA9-46DE-8A7D-08B46FA53608}" name="Tienda"/>
    <tableColumn id="7" xr3:uid="{6DE04CE3-79D2-48DA-80E5-96C3398A368C}" name="Desc Almacen"/>
    <tableColumn id="8" xr3:uid="{9C06468C-A99A-4C10-86CE-439D962F7A1A}" name="Caja"/>
    <tableColumn id="9" xr3:uid="{4816C10D-44A3-4EFD-9799-808D9BA2F8FB}" name="Estado"/>
    <tableColumn id="10" xr3:uid="{4789A977-8193-4069-AFB0-DFBC9B80705D}" name="Fecha deposito"/>
    <tableColumn id="11" xr3:uid="{9D9B1F25-B583-448A-9420-56A4FE3FA83D}" name="Numero Deposito"/>
    <tableColumn id="12" xr3:uid="{64682BC3-0219-4E0F-ACBB-41F6834643A3}" name="Numero Cuenta"/>
    <tableColumn id="13" xr3:uid="{680073AC-0C39-4051-99EF-D214C920DD87}" name="Desc Cuenta"/>
    <tableColumn id="14" xr3:uid="{BA55F405-0935-4B2F-B14D-14509969DE94}" name="Moneda"/>
    <tableColumn id="15" xr3:uid="{BBBAA53E-96B3-462E-8F53-503A9D4F5725}" name="Monto"/>
    <tableColumn id="16" xr3:uid="{59401226-25E8-4277-B3A5-270CC074FE86}" name="Fecha Banco"/>
    <tableColumn id="17" xr3:uid="{63593D8E-C6BA-4D1A-B198-C66E1B9B0C49}" name="Número Déposito Confirmado"/>
    <tableColumn id="18" xr3:uid="{EE7984F9-20F2-4FC3-A58D-D1557D51549A}" name="Número Cuenta Confirmada"/>
    <tableColumn id="19" xr3:uid="{9EB43049-8A25-410D-9BC9-3082E3CBB365}" name="Monto Confirmado"/>
    <tableColumn id="20" xr3:uid="{D970D2D4-057F-479D-9F7D-0AD2579AF30F}" name="Diferencia"/>
    <tableColumn id="21" xr3:uid="{EEB5BB0E-FB3F-4789-84A3-3F46ACF4BF3C}" name="Tasa de Cambio"/>
    <tableColumn id="22" xr3:uid="{12A9D583-4FF0-4232-9341-6DDBB05903DA}" name="Monto MNL"/>
    <tableColumn id="23" xr3:uid="{814B13CE-C83B-4D3C-BAD0-51948E0CAE1C}" name="Motivo"/>
    <tableColumn id="24" xr3:uid="{4250675D-111D-4981-8616-26E71EC4F80C}" name="Fecha confirmacion"/>
    <tableColumn id="25" xr3:uid="{75B7CB60-6EF5-4C5C-B4BE-F18055B3BE71}" name="Fecha Contabilización"/>
    <tableColumn id="26" xr3:uid="{284EC277-7050-46E3-901B-88D5C3BC6D6D}" name="Empleado"/>
    <tableColumn id="27" xr3:uid="{4E3AD465-3FB9-4119-AAA9-AEBBBD086F55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2AA1F9-75C5-4AC5-B618-DBEF35D9FB44}" name="Tabla3" displayName="Tabla3" ref="A1:V25" totalsRowShown="0" headerRowDxfId="3" headerRowBorderDxfId="2" tableBorderDxfId="1">
  <autoFilter ref="A1:V25" xr:uid="{572AA1F9-75C5-4AC5-B618-DBEF35D9FB44}"/>
  <tableColumns count="22">
    <tableColumn id="1" xr3:uid="{08B67ED6-FB41-431D-A926-A975EDD99059}" name="CADENA"/>
    <tableColumn id="2" xr3:uid="{A35FD72C-A37D-4151-8B73-9A1911CD2B44}" name="TIENDA"/>
    <tableColumn id="3" xr3:uid="{2FC3408D-F641-4786-9BC0-01DFFE12F834}" name="CDA"/>
    <tableColumn id="4" xr3:uid="{067A9AC7-6593-4E53-9EE0-2D2674263426}" name="CAJA"/>
    <tableColumn id="5" xr3:uid="{3437BD7E-AB11-4DDD-B286-15BFDEFDFDC5}" name="FECHA TRANSACCION" dataDxfId="0"/>
    <tableColumn id="6" xr3:uid="{045BF874-B028-4B84-86B1-F891FD777819}" name="CORRELATIVO CAJA"/>
    <tableColumn id="7" xr3:uid="{9984B00D-EB4E-4FA5-938D-CF1A4AE8748C}" name="No. TRANSACCION"/>
    <tableColumn id="8" xr3:uid="{D71F02E3-D304-4FDF-B2AF-70935D8CFFCA}" name="TRANSACCION ORIGINAL (Devolución)"/>
    <tableColumn id="9" xr3:uid="{46DAEA21-C2DF-45F4-9D56-98B7CA3202B3}" name="TRANSACCIÓN CAJA ORIGINAL(Devolución)"/>
    <tableColumn id="10" xr3:uid="{D3781207-0AF4-41FD-A3F6-645A4E67D7A2}" name="No. DOCUMENTO"/>
    <tableColumn id="11" xr3:uid="{62C1E232-1A50-45F6-84AB-1E06D3F4747D}" name="NUMERO DE SOLICITUD"/>
    <tableColumn id="12" xr3:uid="{5932B30C-A66C-42EA-BD4D-2C72E4F016F8}" name="TIPO DOCUMENTO"/>
    <tableColumn id="13" xr3:uid="{EFC0B969-282E-4254-AEED-4977989E32A3}" name="TRANSACCIONES CAJA"/>
    <tableColumn id="14" xr3:uid="{E7BD559C-029D-4BE8-B09D-7CBB7802C16E}" name="FORMA DE PAGO"/>
    <tableColumn id="15" xr3:uid="{FE6A68FE-06F8-4B19-96E1-40911EDE522A}" name="CODIGO DE RAZON"/>
    <tableColumn id="16" xr3:uid="{E9D45E93-6314-42C9-8C3D-94A6E680E1BC}" name="MONTO"/>
    <tableColumn id="17" xr3:uid="{E483D0B7-781F-4FE3-BE21-994440F2F38A}" name="NUM_COTIZACON"/>
    <tableColumn id="18" xr3:uid="{B876E3DF-4945-422D-A86A-90B2E386DFB1}" name="NUM_CUENTA"/>
    <tableColumn id="19" xr3:uid="{31803819-2AC2-49D6-AC3B-63B4291D858E}" name="NOMBRE_CLIENTE"/>
    <tableColumn id="20" xr3:uid="{D26B43D4-6797-4E67-B8EF-B080F0CBE58C}" name="BANCO"/>
    <tableColumn id="21" xr3:uid="{96FCC519-F27E-4040-839A-517418D9F2CB}" name="AUTORIZACION"/>
    <tableColumn id="22" xr3:uid="{580C19A2-ED80-460F-9FCC-3FB88787D175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9"/>
  <sheetViews>
    <sheetView tabSelected="1" workbookViewId="0">
      <selection sqref="A1:R9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7" max="7" width="19" customWidth="1"/>
    <col min="8" max="8" width="14.7109375" customWidth="1"/>
    <col min="10" max="10" width="18" customWidth="1"/>
    <col min="11" max="11" width="25.85546875" customWidth="1"/>
    <col min="12" max="12" width="14.85546875" customWidth="1"/>
    <col min="13" max="13" width="21.7109375" customWidth="1"/>
    <col min="15" max="15" width="13.42578125" customWidth="1"/>
    <col min="16" max="16" width="13.5703125" customWidth="1"/>
    <col min="17" max="17" width="16" customWidth="1"/>
    <col min="18" max="18" width="12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109</v>
      </c>
      <c r="G1" t="s">
        <v>115</v>
      </c>
      <c r="H1" t="s">
        <v>86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220</v>
      </c>
    </row>
    <row r="2" spans="1:18" x14ac:dyDescent="0.25">
      <c r="A2" t="s">
        <v>104</v>
      </c>
      <c r="B2">
        <v>50201</v>
      </c>
      <c r="C2" s="9">
        <v>44771</v>
      </c>
      <c r="D2" t="s">
        <v>114</v>
      </c>
      <c r="E2" t="s">
        <v>203</v>
      </c>
      <c r="F2">
        <v>16869.150000000001</v>
      </c>
      <c r="G2">
        <v>36835</v>
      </c>
      <c r="H2">
        <v>53704.15</v>
      </c>
      <c r="I2" t="s">
        <v>89</v>
      </c>
    </row>
    <row r="3" spans="1:18" x14ac:dyDescent="0.25">
      <c r="A3" t="s">
        <v>104</v>
      </c>
      <c r="B3">
        <v>50201</v>
      </c>
      <c r="C3" s="9">
        <v>44771</v>
      </c>
      <c r="D3" t="s">
        <v>204</v>
      </c>
      <c r="F3">
        <v>16869.150000000001</v>
      </c>
      <c r="G3">
        <v>36835</v>
      </c>
      <c r="H3">
        <v>53704.15</v>
      </c>
      <c r="I3" t="s">
        <v>218</v>
      </c>
    </row>
    <row r="4" spans="1:18" x14ac:dyDescent="0.25">
      <c r="A4" t="s">
        <v>104</v>
      </c>
      <c r="B4">
        <v>50201</v>
      </c>
      <c r="C4" s="9">
        <v>44771</v>
      </c>
      <c r="D4" t="s">
        <v>108</v>
      </c>
      <c r="E4" t="s">
        <v>203</v>
      </c>
      <c r="F4">
        <v>680</v>
      </c>
      <c r="H4">
        <v>680</v>
      </c>
      <c r="I4" t="s">
        <v>219</v>
      </c>
    </row>
    <row r="5" spans="1:18" x14ac:dyDescent="0.25">
      <c r="A5" t="s">
        <v>104</v>
      </c>
      <c r="B5">
        <v>50201</v>
      </c>
      <c r="C5" s="9">
        <v>44771</v>
      </c>
      <c r="D5" t="s">
        <v>205</v>
      </c>
      <c r="F5">
        <v>680</v>
      </c>
      <c r="H5">
        <v>680</v>
      </c>
    </row>
    <row r="6" spans="1:18" x14ac:dyDescent="0.25">
      <c r="A6" t="s">
        <v>104</v>
      </c>
      <c r="B6">
        <v>50201</v>
      </c>
      <c r="C6" t="s">
        <v>206</v>
      </c>
      <c r="F6">
        <v>17549.150000000001</v>
      </c>
      <c r="G6">
        <v>36835</v>
      </c>
      <c r="H6">
        <v>54384.15</v>
      </c>
      <c r="I6" t="s">
        <v>96</v>
      </c>
    </row>
    <row r="7" spans="1:18" x14ac:dyDescent="0.25">
      <c r="A7" t="s">
        <v>104</v>
      </c>
      <c r="B7" t="s">
        <v>207</v>
      </c>
      <c r="F7">
        <v>17549.150000000001</v>
      </c>
      <c r="G7">
        <v>36835</v>
      </c>
      <c r="H7">
        <v>54384.15</v>
      </c>
      <c r="I7" t="s">
        <v>89</v>
      </c>
    </row>
    <row r="8" spans="1:18" x14ac:dyDescent="0.25">
      <c r="A8" t="s">
        <v>208</v>
      </c>
      <c r="F8">
        <v>17549.150000000001</v>
      </c>
      <c r="G8">
        <v>36835</v>
      </c>
      <c r="H8">
        <v>54384.15</v>
      </c>
      <c r="I8" t="s">
        <v>218</v>
      </c>
    </row>
    <row r="9" spans="1:18" x14ac:dyDescent="0.25">
      <c r="A9" t="s">
        <v>86</v>
      </c>
      <c r="F9">
        <v>17549.150000000001</v>
      </c>
      <c r="G9">
        <v>36835</v>
      </c>
      <c r="H9">
        <v>54384.15</v>
      </c>
      <c r="I9" t="s">
        <v>219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C6C4B-5444-4C92-8300-E114138B2083}">
  <dimension ref="A3:C8"/>
  <sheetViews>
    <sheetView workbookViewId="0"/>
  </sheetViews>
  <sheetFormatPr baseColWidth="10" defaultRowHeight="15" x14ac:dyDescent="0.25"/>
  <cols>
    <col min="1" max="1" width="37.2851562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88</v>
      </c>
      <c r="B3" s="3" t="s">
        <v>85</v>
      </c>
    </row>
    <row r="4" spans="1:3" x14ac:dyDescent="0.25">
      <c r="A4" s="3" t="s">
        <v>87</v>
      </c>
      <c r="B4" t="s">
        <v>76</v>
      </c>
      <c r="C4" t="s">
        <v>86</v>
      </c>
    </row>
    <row r="5" spans="1:3" x14ac:dyDescent="0.25">
      <c r="A5" s="4">
        <v>50201</v>
      </c>
      <c r="B5" s="7">
        <v>45581</v>
      </c>
      <c r="C5" s="7">
        <v>45581</v>
      </c>
    </row>
    <row r="6" spans="1:3" x14ac:dyDescent="0.25">
      <c r="A6" s="5" t="s">
        <v>72</v>
      </c>
      <c r="B6" s="7">
        <v>45581</v>
      </c>
      <c r="C6" s="7">
        <v>45581</v>
      </c>
    </row>
    <row r="7" spans="1:3" x14ac:dyDescent="0.25">
      <c r="A7" s="6" t="s">
        <v>73</v>
      </c>
      <c r="B7" s="7">
        <v>45581</v>
      </c>
      <c r="C7" s="7">
        <v>45581</v>
      </c>
    </row>
    <row r="8" spans="1:3" x14ac:dyDescent="0.25">
      <c r="A8" s="4" t="s">
        <v>86</v>
      </c>
      <c r="B8" s="7">
        <v>45581</v>
      </c>
      <c r="C8" s="7">
        <v>45581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30"/>
  <sheetViews>
    <sheetView workbookViewId="0">
      <selection sqref="A1:Y30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1.2511003167520201E+19</v>
      </c>
      <c r="B2" t="s">
        <v>71</v>
      </c>
      <c r="C2">
        <v>50201</v>
      </c>
      <c r="D2">
        <v>511</v>
      </c>
      <c r="E2">
        <v>3</v>
      </c>
      <c r="F2" t="s">
        <v>72</v>
      </c>
      <c r="G2">
        <v>17437</v>
      </c>
      <c r="H2" s="1">
        <v>44743</v>
      </c>
      <c r="I2" t="s">
        <v>73</v>
      </c>
      <c r="J2" t="s">
        <v>74</v>
      </c>
      <c r="K2" t="s">
        <v>75</v>
      </c>
      <c r="L2">
        <v>398</v>
      </c>
      <c r="P2">
        <v>1</v>
      </c>
      <c r="Q2">
        <v>398</v>
      </c>
      <c r="R2" t="s">
        <v>76</v>
      </c>
      <c r="X2" t="s">
        <v>77</v>
      </c>
      <c r="Y2" t="s">
        <v>78</v>
      </c>
    </row>
    <row r="3" spans="1:25" x14ac:dyDescent="0.25">
      <c r="A3">
        <v>1.25110031678202E+19</v>
      </c>
      <c r="B3" t="s">
        <v>79</v>
      </c>
      <c r="C3">
        <v>50201</v>
      </c>
      <c r="D3">
        <v>511</v>
      </c>
      <c r="E3">
        <v>3</v>
      </c>
      <c r="F3" t="s">
        <v>72</v>
      </c>
      <c r="G3">
        <v>175047</v>
      </c>
      <c r="H3" s="1">
        <v>44743</v>
      </c>
      <c r="I3" t="s">
        <v>73</v>
      </c>
      <c r="J3" t="s">
        <v>74</v>
      </c>
      <c r="K3" t="s">
        <v>75</v>
      </c>
      <c r="L3">
        <v>1992</v>
      </c>
      <c r="P3">
        <v>1</v>
      </c>
      <c r="Q3">
        <v>1992</v>
      </c>
      <c r="R3" t="s">
        <v>76</v>
      </c>
      <c r="X3" t="s">
        <v>77</v>
      </c>
      <c r="Y3" t="s">
        <v>78</v>
      </c>
    </row>
    <row r="4" spans="1:25" x14ac:dyDescent="0.25">
      <c r="A4">
        <v>1.2511002342620201E+19</v>
      </c>
      <c r="B4" t="s">
        <v>79</v>
      </c>
      <c r="C4">
        <v>50201</v>
      </c>
      <c r="D4">
        <v>511</v>
      </c>
      <c r="E4">
        <v>2</v>
      </c>
      <c r="F4" t="s">
        <v>72</v>
      </c>
      <c r="G4">
        <v>4748431</v>
      </c>
      <c r="H4" s="1">
        <v>44743</v>
      </c>
      <c r="I4" t="s">
        <v>73</v>
      </c>
      <c r="J4" t="s">
        <v>74</v>
      </c>
      <c r="K4" t="s">
        <v>75</v>
      </c>
      <c r="L4">
        <v>310</v>
      </c>
      <c r="P4">
        <v>1</v>
      </c>
      <c r="Q4">
        <v>310</v>
      </c>
      <c r="R4" t="s">
        <v>76</v>
      </c>
      <c r="X4" t="s">
        <v>80</v>
      </c>
      <c r="Y4" t="s">
        <v>78</v>
      </c>
    </row>
    <row r="5" spans="1:25" x14ac:dyDescent="0.25">
      <c r="A5">
        <v>1.25110010247202E+19</v>
      </c>
      <c r="B5" t="s">
        <v>79</v>
      </c>
      <c r="C5">
        <v>50201</v>
      </c>
      <c r="D5">
        <v>511</v>
      </c>
      <c r="E5">
        <v>1</v>
      </c>
      <c r="F5" t="s">
        <v>72</v>
      </c>
      <c r="G5">
        <v>211399</v>
      </c>
      <c r="H5" s="1">
        <v>44743</v>
      </c>
      <c r="I5" t="s">
        <v>73</v>
      </c>
      <c r="J5" t="s">
        <v>74</v>
      </c>
      <c r="K5" t="s">
        <v>75</v>
      </c>
      <c r="L5">
        <v>520</v>
      </c>
      <c r="P5">
        <v>1</v>
      </c>
      <c r="Q5">
        <v>520</v>
      </c>
      <c r="R5" t="s">
        <v>76</v>
      </c>
      <c r="X5" t="s">
        <v>81</v>
      </c>
      <c r="Y5" t="s">
        <v>78</v>
      </c>
    </row>
    <row r="6" spans="1:25" x14ac:dyDescent="0.25">
      <c r="A6">
        <v>1.2511001024820199E+19</v>
      </c>
      <c r="B6" t="s">
        <v>79</v>
      </c>
      <c r="C6">
        <v>50201</v>
      </c>
      <c r="D6">
        <v>511</v>
      </c>
      <c r="E6">
        <v>1</v>
      </c>
      <c r="F6" t="s">
        <v>72</v>
      </c>
      <c r="G6">
        <v>576270</v>
      </c>
      <c r="H6" s="1">
        <v>44743</v>
      </c>
      <c r="I6" t="s">
        <v>73</v>
      </c>
      <c r="J6" t="s">
        <v>74</v>
      </c>
      <c r="K6" t="s">
        <v>75</v>
      </c>
      <c r="L6">
        <v>2003</v>
      </c>
      <c r="P6">
        <v>1</v>
      </c>
      <c r="Q6">
        <v>2003</v>
      </c>
      <c r="R6" t="s">
        <v>76</v>
      </c>
      <c r="X6" t="s">
        <v>81</v>
      </c>
      <c r="Y6" t="s">
        <v>78</v>
      </c>
    </row>
    <row r="7" spans="1:25" x14ac:dyDescent="0.25">
      <c r="A7">
        <v>1.25110023413202E+19</v>
      </c>
      <c r="B7" t="s">
        <v>71</v>
      </c>
      <c r="C7">
        <v>50201</v>
      </c>
      <c r="D7">
        <v>511</v>
      </c>
      <c r="E7">
        <v>2</v>
      </c>
      <c r="F7" t="s">
        <v>72</v>
      </c>
      <c r="G7">
        <v>176619</v>
      </c>
      <c r="H7" s="1">
        <v>44743</v>
      </c>
      <c r="I7" t="s">
        <v>73</v>
      </c>
      <c r="J7" t="s">
        <v>82</v>
      </c>
      <c r="K7" t="s">
        <v>75</v>
      </c>
      <c r="L7">
        <v>656</v>
      </c>
      <c r="P7">
        <v>1</v>
      </c>
      <c r="Q7">
        <v>656</v>
      </c>
      <c r="R7" t="s">
        <v>76</v>
      </c>
      <c r="X7" t="s">
        <v>80</v>
      </c>
      <c r="Y7" t="s">
        <v>78</v>
      </c>
    </row>
    <row r="8" spans="1:25" x14ac:dyDescent="0.25">
      <c r="A8">
        <v>1.25110010271202E+19</v>
      </c>
      <c r="B8" t="s">
        <v>79</v>
      </c>
      <c r="C8">
        <v>50201</v>
      </c>
      <c r="D8">
        <v>511</v>
      </c>
      <c r="E8">
        <v>1</v>
      </c>
      <c r="F8" t="s">
        <v>72</v>
      </c>
      <c r="G8">
        <v>203630</v>
      </c>
      <c r="H8" s="1">
        <v>44743</v>
      </c>
      <c r="I8" t="s">
        <v>73</v>
      </c>
      <c r="J8" t="s">
        <v>83</v>
      </c>
      <c r="K8" t="s">
        <v>75</v>
      </c>
      <c r="L8">
        <v>5999</v>
      </c>
      <c r="P8">
        <v>1</v>
      </c>
      <c r="Q8">
        <v>5999</v>
      </c>
      <c r="R8" t="s">
        <v>76</v>
      </c>
      <c r="X8" t="s">
        <v>81</v>
      </c>
      <c r="Y8" t="s">
        <v>78</v>
      </c>
    </row>
    <row r="9" spans="1:25" x14ac:dyDescent="0.25">
      <c r="A9">
        <v>1.2511003167220199E+19</v>
      </c>
      <c r="B9" t="s">
        <v>79</v>
      </c>
      <c r="C9">
        <v>50201</v>
      </c>
      <c r="D9">
        <v>511</v>
      </c>
      <c r="E9">
        <v>3</v>
      </c>
      <c r="F9" t="s">
        <v>72</v>
      </c>
      <c r="G9">
        <v>710704</v>
      </c>
      <c r="H9" s="1">
        <v>44743</v>
      </c>
      <c r="I9" t="s">
        <v>73</v>
      </c>
      <c r="J9" t="s">
        <v>74</v>
      </c>
      <c r="K9" t="s">
        <v>75</v>
      </c>
      <c r="L9">
        <v>657</v>
      </c>
      <c r="P9">
        <v>1</v>
      </c>
      <c r="Q9">
        <v>657</v>
      </c>
      <c r="R9" t="s">
        <v>76</v>
      </c>
      <c r="X9" t="s">
        <v>77</v>
      </c>
      <c r="Y9" t="s">
        <v>78</v>
      </c>
    </row>
    <row r="10" spans="1:25" x14ac:dyDescent="0.25">
      <c r="A10">
        <v>1.25110031671202E+19</v>
      </c>
      <c r="B10" t="s">
        <v>79</v>
      </c>
      <c r="C10">
        <v>50201</v>
      </c>
      <c r="D10">
        <v>511</v>
      </c>
      <c r="E10">
        <v>3</v>
      </c>
      <c r="F10" t="s">
        <v>72</v>
      </c>
      <c r="G10">
        <v>710704</v>
      </c>
      <c r="H10" s="1">
        <v>44743</v>
      </c>
      <c r="I10" t="s">
        <v>73</v>
      </c>
      <c r="J10" t="s">
        <v>74</v>
      </c>
      <c r="K10" t="s">
        <v>75</v>
      </c>
      <c r="L10">
        <v>291</v>
      </c>
      <c r="P10">
        <v>1</v>
      </c>
      <c r="Q10">
        <v>291</v>
      </c>
      <c r="R10" t="s">
        <v>76</v>
      </c>
      <c r="X10" t="s">
        <v>77</v>
      </c>
      <c r="Y10" t="s">
        <v>78</v>
      </c>
    </row>
    <row r="11" spans="1:25" x14ac:dyDescent="0.25">
      <c r="A11">
        <v>1.25110010263202E+19</v>
      </c>
      <c r="B11" t="s">
        <v>79</v>
      </c>
      <c r="C11">
        <v>50201</v>
      </c>
      <c r="D11">
        <v>511</v>
      </c>
      <c r="E11">
        <v>1</v>
      </c>
      <c r="F11" t="s">
        <v>72</v>
      </c>
      <c r="G11">
        <v>249696</v>
      </c>
      <c r="H11" s="1">
        <v>44743</v>
      </c>
      <c r="I11" t="s">
        <v>73</v>
      </c>
      <c r="J11" t="s">
        <v>74</v>
      </c>
      <c r="K11" t="s">
        <v>75</v>
      </c>
      <c r="L11">
        <v>187</v>
      </c>
      <c r="P11">
        <v>1</v>
      </c>
      <c r="Q11">
        <v>187</v>
      </c>
      <c r="R11" t="s">
        <v>76</v>
      </c>
      <c r="X11" t="s">
        <v>81</v>
      </c>
      <c r="Y11" t="s">
        <v>78</v>
      </c>
    </row>
    <row r="12" spans="1:25" x14ac:dyDescent="0.25">
      <c r="A12">
        <v>1.2511003168820199E+19</v>
      </c>
      <c r="B12" t="s">
        <v>79</v>
      </c>
      <c r="C12">
        <v>50201</v>
      </c>
      <c r="D12">
        <v>511</v>
      </c>
      <c r="E12">
        <v>3</v>
      </c>
      <c r="F12" t="s">
        <v>72</v>
      </c>
      <c r="G12">
        <v>171595</v>
      </c>
      <c r="H12" s="1">
        <v>44743</v>
      </c>
      <c r="I12" t="s">
        <v>73</v>
      </c>
      <c r="J12" t="s">
        <v>83</v>
      </c>
      <c r="K12" t="s">
        <v>75</v>
      </c>
      <c r="L12">
        <v>2299</v>
      </c>
      <c r="P12">
        <v>1</v>
      </c>
      <c r="Q12">
        <v>2299</v>
      </c>
      <c r="R12" t="s">
        <v>76</v>
      </c>
      <c r="X12" t="s">
        <v>77</v>
      </c>
      <c r="Y12" t="s">
        <v>78</v>
      </c>
    </row>
    <row r="13" spans="1:25" x14ac:dyDescent="0.25">
      <c r="A13">
        <v>1.25110010269202E+19</v>
      </c>
      <c r="B13" t="s">
        <v>79</v>
      </c>
      <c r="C13">
        <v>50201</v>
      </c>
      <c r="D13">
        <v>511</v>
      </c>
      <c r="E13">
        <v>1</v>
      </c>
      <c r="F13" t="s">
        <v>72</v>
      </c>
      <c r="G13">
        <v>234359</v>
      </c>
      <c r="H13" s="1">
        <v>44743</v>
      </c>
      <c r="I13" t="s">
        <v>73</v>
      </c>
      <c r="J13" t="s">
        <v>74</v>
      </c>
      <c r="K13" t="s">
        <v>75</v>
      </c>
      <c r="L13">
        <v>180</v>
      </c>
      <c r="P13">
        <v>1</v>
      </c>
      <c r="Q13">
        <v>180</v>
      </c>
      <c r="R13" t="s">
        <v>76</v>
      </c>
      <c r="X13" t="s">
        <v>81</v>
      </c>
      <c r="Y13" t="s">
        <v>78</v>
      </c>
    </row>
    <row r="14" spans="1:25" x14ac:dyDescent="0.25">
      <c r="A14">
        <v>1.2511001024320201E+19</v>
      </c>
      <c r="B14" t="s">
        <v>79</v>
      </c>
      <c r="C14">
        <v>50201</v>
      </c>
      <c r="D14">
        <v>511</v>
      </c>
      <c r="E14">
        <v>1</v>
      </c>
      <c r="F14" t="s">
        <v>72</v>
      </c>
      <c r="G14">
        <v>856755</v>
      </c>
      <c r="H14" s="1">
        <v>44743</v>
      </c>
      <c r="I14" t="s">
        <v>73</v>
      </c>
      <c r="J14" t="s">
        <v>83</v>
      </c>
      <c r="K14" t="s">
        <v>75</v>
      </c>
      <c r="L14">
        <v>8145</v>
      </c>
      <c r="P14">
        <v>1</v>
      </c>
      <c r="Q14">
        <v>8145</v>
      </c>
      <c r="R14" t="s">
        <v>76</v>
      </c>
      <c r="X14" t="s">
        <v>81</v>
      </c>
      <c r="Y14" t="s">
        <v>78</v>
      </c>
    </row>
    <row r="15" spans="1:25" x14ac:dyDescent="0.25">
      <c r="A15">
        <v>1.25110031678202E+19</v>
      </c>
      <c r="B15" t="s">
        <v>79</v>
      </c>
      <c r="C15">
        <v>50201</v>
      </c>
      <c r="D15">
        <v>511</v>
      </c>
      <c r="E15">
        <v>3</v>
      </c>
      <c r="F15" t="s">
        <v>72</v>
      </c>
      <c r="G15">
        <v>149773</v>
      </c>
      <c r="H15" s="1">
        <v>44743</v>
      </c>
      <c r="I15" t="s">
        <v>73</v>
      </c>
      <c r="J15" t="s">
        <v>74</v>
      </c>
      <c r="K15" t="s">
        <v>75</v>
      </c>
      <c r="L15">
        <v>1993</v>
      </c>
      <c r="P15">
        <v>1</v>
      </c>
      <c r="Q15">
        <v>1993</v>
      </c>
      <c r="R15" t="s">
        <v>76</v>
      </c>
      <c r="X15" t="s">
        <v>77</v>
      </c>
      <c r="Y15" t="s">
        <v>78</v>
      </c>
    </row>
    <row r="16" spans="1:25" x14ac:dyDescent="0.25">
      <c r="A16">
        <v>1.2511003168120199E+19</v>
      </c>
      <c r="B16" t="s">
        <v>79</v>
      </c>
      <c r="C16">
        <v>50201</v>
      </c>
      <c r="D16">
        <v>511</v>
      </c>
      <c r="E16">
        <v>3</v>
      </c>
      <c r="F16" t="s">
        <v>72</v>
      </c>
      <c r="G16">
        <v>170767</v>
      </c>
      <c r="H16" s="1">
        <v>44743</v>
      </c>
      <c r="I16" t="s">
        <v>73</v>
      </c>
      <c r="J16" t="s">
        <v>74</v>
      </c>
      <c r="K16" t="s">
        <v>75</v>
      </c>
      <c r="L16">
        <v>1500</v>
      </c>
      <c r="P16">
        <v>1</v>
      </c>
      <c r="Q16">
        <v>1500</v>
      </c>
      <c r="R16" t="s">
        <v>76</v>
      </c>
      <c r="X16" t="s">
        <v>77</v>
      </c>
      <c r="Y16" t="s">
        <v>78</v>
      </c>
    </row>
    <row r="17" spans="1:25" x14ac:dyDescent="0.25">
      <c r="A17">
        <v>1.25110023412202E+19</v>
      </c>
      <c r="B17" t="s">
        <v>79</v>
      </c>
      <c r="C17">
        <v>50201</v>
      </c>
      <c r="D17">
        <v>511</v>
      </c>
      <c r="E17">
        <v>2</v>
      </c>
      <c r="F17" t="s">
        <v>72</v>
      </c>
      <c r="G17">
        <v>741309</v>
      </c>
      <c r="H17" s="1">
        <v>44743</v>
      </c>
      <c r="I17" t="s">
        <v>73</v>
      </c>
      <c r="J17" t="s">
        <v>74</v>
      </c>
      <c r="K17" t="s">
        <v>75</v>
      </c>
      <c r="L17">
        <v>550</v>
      </c>
      <c r="P17">
        <v>1</v>
      </c>
      <c r="Q17">
        <v>550</v>
      </c>
      <c r="R17" t="s">
        <v>76</v>
      </c>
      <c r="X17" t="s">
        <v>80</v>
      </c>
      <c r="Y17" t="s">
        <v>78</v>
      </c>
    </row>
    <row r="18" spans="1:25" x14ac:dyDescent="0.25">
      <c r="A18">
        <v>1.25110023415202E+19</v>
      </c>
      <c r="B18" t="s">
        <v>79</v>
      </c>
      <c r="C18">
        <v>50201</v>
      </c>
      <c r="D18">
        <v>511</v>
      </c>
      <c r="E18">
        <v>2</v>
      </c>
      <c r="F18" t="s">
        <v>72</v>
      </c>
      <c r="G18">
        <v>177134</v>
      </c>
      <c r="H18" s="1">
        <v>44743</v>
      </c>
      <c r="I18" t="s">
        <v>73</v>
      </c>
      <c r="J18" t="s">
        <v>74</v>
      </c>
      <c r="K18" t="s">
        <v>75</v>
      </c>
      <c r="L18">
        <v>258</v>
      </c>
      <c r="P18">
        <v>1</v>
      </c>
      <c r="Q18">
        <v>258</v>
      </c>
      <c r="R18" t="s">
        <v>76</v>
      </c>
      <c r="X18" t="s">
        <v>80</v>
      </c>
      <c r="Y18" t="s">
        <v>78</v>
      </c>
    </row>
    <row r="19" spans="1:25" x14ac:dyDescent="0.25">
      <c r="A19">
        <v>1.25110010270202E+19</v>
      </c>
      <c r="B19" t="s">
        <v>79</v>
      </c>
      <c r="C19">
        <v>50201</v>
      </c>
      <c r="D19">
        <v>511</v>
      </c>
      <c r="E19">
        <v>1</v>
      </c>
      <c r="F19" t="s">
        <v>72</v>
      </c>
      <c r="G19">
        <v>199095</v>
      </c>
      <c r="H19" s="1">
        <v>44743</v>
      </c>
      <c r="I19" t="s">
        <v>73</v>
      </c>
      <c r="J19" t="s">
        <v>74</v>
      </c>
      <c r="K19" t="s">
        <v>75</v>
      </c>
      <c r="L19">
        <v>2797</v>
      </c>
      <c r="P19">
        <v>1</v>
      </c>
      <c r="Q19">
        <v>2797</v>
      </c>
      <c r="R19" t="s">
        <v>76</v>
      </c>
      <c r="X19" t="s">
        <v>81</v>
      </c>
      <c r="Y19" t="s">
        <v>78</v>
      </c>
    </row>
    <row r="20" spans="1:25" x14ac:dyDescent="0.25">
      <c r="A20">
        <v>1.2511001025020201E+19</v>
      </c>
      <c r="B20" t="s">
        <v>79</v>
      </c>
      <c r="C20">
        <v>50201</v>
      </c>
      <c r="D20">
        <v>511</v>
      </c>
      <c r="E20">
        <v>1</v>
      </c>
      <c r="F20" t="s">
        <v>72</v>
      </c>
      <c r="G20">
        <v>912353</v>
      </c>
      <c r="H20" s="1">
        <v>44743</v>
      </c>
      <c r="I20" t="s">
        <v>73</v>
      </c>
      <c r="J20" t="s">
        <v>74</v>
      </c>
      <c r="K20" t="s">
        <v>75</v>
      </c>
      <c r="L20">
        <v>1497</v>
      </c>
      <c r="P20">
        <v>1</v>
      </c>
      <c r="Q20">
        <v>1497</v>
      </c>
      <c r="R20" t="s">
        <v>76</v>
      </c>
      <c r="X20" t="s">
        <v>81</v>
      </c>
      <c r="Y20" t="s">
        <v>78</v>
      </c>
    </row>
    <row r="21" spans="1:25" x14ac:dyDescent="0.25">
      <c r="A21">
        <v>1.2511001024820199E+19</v>
      </c>
      <c r="B21" t="s">
        <v>79</v>
      </c>
      <c r="C21">
        <v>50201</v>
      </c>
      <c r="D21">
        <v>511</v>
      </c>
      <c r="E21">
        <v>1</v>
      </c>
      <c r="F21" t="s">
        <v>72</v>
      </c>
      <c r="G21">
        <v>135171</v>
      </c>
      <c r="H21" s="1">
        <v>44743</v>
      </c>
      <c r="I21" t="s">
        <v>73</v>
      </c>
      <c r="J21" t="s">
        <v>74</v>
      </c>
      <c r="K21" t="s">
        <v>75</v>
      </c>
      <c r="L21">
        <v>3391</v>
      </c>
      <c r="P21">
        <v>1</v>
      </c>
      <c r="Q21">
        <v>3391</v>
      </c>
      <c r="R21" t="s">
        <v>76</v>
      </c>
      <c r="X21" t="s">
        <v>81</v>
      </c>
      <c r="Y21" t="s">
        <v>78</v>
      </c>
    </row>
    <row r="22" spans="1:25" x14ac:dyDescent="0.25">
      <c r="A22">
        <v>1.25110031676202E+19</v>
      </c>
      <c r="B22" t="s">
        <v>79</v>
      </c>
      <c r="C22">
        <v>50201</v>
      </c>
      <c r="D22">
        <v>511</v>
      </c>
      <c r="E22">
        <v>3</v>
      </c>
      <c r="F22" t="s">
        <v>72</v>
      </c>
      <c r="G22">
        <v>215859</v>
      </c>
      <c r="H22" s="1">
        <v>44743</v>
      </c>
      <c r="I22" t="s">
        <v>73</v>
      </c>
      <c r="J22" t="s">
        <v>74</v>
      </c>
      <c r="K22" t="s">
        <v>75</v>
      </c>
      <c r="L22">
        <v>684</v>
      </c>
      <c r="P22">
        <v>1</v>
      </c>
      <c r="Q22">
        <v>684</v>
      </c>
      <c r="R22" t="s">
        <v>76</v>
      </c>
      <c r="X22" t="s">
        <v>77</v>
      </c>
      <c r="Y22" t="s">
        <v>78</v>
      </c>
    </row>
    <row r="23" spans="1:25" x14ac:dyDescent="0.25">
      <c r="A23">
        <v>1.25110031687202E+19</v>
      </c>
      <c r="B23" t="s">
        <v>79</v>
      </c>
      <c r="C23">
        <v>50201</v>
      </c>
      <c r="D23">
        <v>511</v>
      </c>
      <c r="E23">
        <v>3</v>
      </c>
      <c r="F23" t="s">
        <v>72</v>
      </c>
      <c r="G23">
        <v>170068</v>
      </c>
      <c r="H23" s="1">
        <v>44743</v>
      </c>
      <c r="I23" t="s">
        <v>73</v>
      </c>
      <c r="J23" t="s">
        <v>74</v>
      </c>
      <c r="K23" t="s">
        <v>75</v>
      </c>
      <c r="L23">
        <v>1000</v>
      </c>
      <c r="P23">
        <v>1</v>
      </c>
      <c r="Q23">
        <v>1000</v>
      </c>
      <c r="R23" t="s">
        <v>76</v>
      </c>
      <c r="X23" t="s">
        <v>77</v>
      </c>
      <c r="Y23" t="s">
        <v>78</v>
      </c>
    </row>
    <row r="24" spans="1:25" x14ac:dyDescent="0.25">
      <c r="A24">
        <v>1.25110010262202E+19</v>
      </c>
      <c r="B24" t="s">
        <v>79</v>
      </c>
      <c r="C24">
        <v>50201</v>
      </c>
      <c r="D24">
        <v>511</v>
      </c>
      <c r="E24">
        <v>1</v>
      </c>
      <c r="F24" t="s">
        <v>72</v>
      </c>
      <c r="G24">
        <v>269125</v>
      </c>
      <c r="H24" s="1">
        <v>44743</v>
      </c>
      <c r="I24" t="s">
        <v>73</v>
      </c>
      <c r="J24" t="s">
        <v>83</v>
      </c>
      <c r="K24" t="s">
        <v>75</v>
      </c>
      <c r="L24">
        <v>4679</v>
      </c>
      <c r="P24">
        <v>1</v>
      </c>
      <c r="Q24">
        <v>4679</v>
      </c>
      <c r="R24" t="s">
        <v>76</v>
      </c>
      <c r="X24" t="s">
        <v>81</v>
      </c>
      <c r="Y24" t="s">
        <v>78</v>
      </c>
    </row>
    <row r="25" spans="1:25" x14ac:dyDescent="0.25">
      <c r="A25">
        <v>1.2511003167420201E+19</v>
      </c>
      <c r="B25" t="s">
        <v>79</v>
      </c>
      <c r="C25">
        <v>50201</v>
      </c>
      <c r="D25">
        <v>511</v>
      </c>
      <c r="E25">
        <v>3</v>
      </c>
      <c r="F25" t="s">
        <v>72</v>
      </c>
      <c r="G25">
        <v>602276</v>
      </c>
      <c r="H25" s="1">
        <v>44743</v>
      </c>
      <c r="I25" t="s">
        <v>73</v>
      </c>
      <c r="J25" t="s">
        <v>74</v>
      </c>
      <c r="K25" t="s">
        <v>75</v>
      </c>
      <c r="L25">
        <v>65</v>
      </c>
      <c r="P25">
        <v>1</v>
      </c>
      <c r="Q25">
        <v>65</v>
      </c>
      <c r="R25" t="s">
        <v>76</v>
      </c>
      <c r="X25" t="s">
        <v>77</v>
      </c>
      <c r="Y25" t="s">
        <v>78</v>
      </c>
    </row>
    <row r="26" spans="1:25" x14ac:dyDescent="0.25">
      <c r="A26">
        <v>1.25110010255202E+19</v>
      </c>
      <c r="B26" t="s">
        <v>79</v>
      </c>
      <c r="C26">
        <v>50201</v>
      </c>
      <c r="D26">
        <v>511</v>
      </c>
      <c r="E26">
        <v>1</v>
      </c>
      <c r="F26" t="s">
        <v>72</v>
      </c>
      <c r="G26">
        <v>262010</v>
      </c>
      <c r="H26" s="1">
        <v>44743</v>
      </c>
      <c r="I26" t="s">
        <v>73</v>
      </c>
      <c r="J26" t="s">
        <v>74</v>
      </c>
      <c r="K26" t="s">
        <v>75</v>
      </c>
      <c r="L26">
        <v>504</v>
      </c>
      <c r="P26">
        <v>1</v>
      </c>
      <c r="Q26">
        <v>504</v>
      </c>
      <c r="R26" t="s">
        <v>76</v>
      </c>
      <c r="X26" t="s">
        <v>81</v>
      </c>
      <c r="Y26" t="s">
        <v>78</v>
      </c>
    </row>
    <row r="27" spans="1:25" x14ac:dyDescent="0.25">
      <c r="A27">
        <v>1.2511002341920201E+19</v>
      </c>
      <c r="B27" t="s">
        <v>71</v>
      </c>
      <c r="C27">
        <v>50201</v>
      </c>
      <c r="D27">
        <v>511</v>
      </c>
      <c r="E27">
        <v>2</v>
      </c>
      <c r="F27" t="s">
        <v>72</v>
      </c>
      <c r="G27">
        <v>17438</v>
      </c>
      <c r="H27" s="1">
        <v>44743</v>
      </c>
      <c r="I27" t="s">
        <v>73</v>
      </c>
      <c r="J27" t="s">
        <v>74</v>
      </c>
      <c r="K27" t="s">
        <v>75</v>
      </c>
      <c r="L27">
        <v>545</v>
      </c>
      <c r="P27">
        <v>1</v>
      </c>
      <c r="Q27">
        <v>545</v>
      </c>
      <c r="R27" t="s">
        <v>76</v>
      </c>
      <c r="X27" t="s">
        <v>80</v>
      </c>
      <c r="Y27" t="s">
        <v>78</v>
      </c>
    </row>
    <row r="28" spans="1:25" x14ac:dyDescent="0.25">
      <c r="A28">
        <v>1.25110023420202E+19</v>
      </c>
      <c r="B28" t="s">
        <v>71</v>
      </c>
      <c r="C28">
        <v>50201</v>
      </c>
      <c r="D28">
        <v>511</v>
      </c>
      <c r="E28">
        <v>2</v>
      </c>
      <c r="F28" t="s">
        <v>72</v>
      </c>
      <c r="G28">
        <v>185606</v>
      </c>
      <c r="H28" s="1">
        <v>44743</v>
      </c>
      <c r="I28" t="s">
        <v>73</v>
      </c>
      <c r="J28" t="s">
        <v>84</v>
      </c>
      <c r="K28" t="s">
        <v>75</v>
      </c>
      <c r="L28">
        <v>1197</v>
      </c>
      <c r="P28">
        <v>1</v>
      </c>
      <c r="Q28">
        <v>1197</v>
      </c>
      <c r="R28" t="s">
        <v>76</v>
      </c>
      <c r="X28" t="s">
        <v>80</v>
      </c>
      <c r="Y28" t="s">
        <v>78</v>
      </c>
    </row>
    <row r="29" spans="1:25" x14ac:dyDescent="0.25">
      <c r="A29">
        <v>1.2511002341620199E+19</v>
      </c>
      <c r="B29" t="s">
        <v>79</v>
      </c>
      <c r="C29">
        <v>50201</v>
      </c>
      <c r="D29">
        <v>511</v>
      </c>
      <c r="E29">
        <v>2</v>
      </c>
      <c r="F29" t="s">
        <v>72</v>
      </c>
      <c r="G29">
        <v>177134</v>
      </c>
      <c r="H29" s="1">
        <v>44743</v>
      </c>
      <c r="I29" t="s">
        <v>73</v>
      </c>
      <c r="J29" t="s">
        <v>74</v>
      </c>
      <c r="K29" t="s">
        <v>75</v>
      </c>
      <c r="L29">
        <v>284</v>
      </c>
      <c r="P29">
        <v>1</v>
      </c>
      <c r="Q29">
        <v>284</v>
      </c>
      <c r="R29" t="s">
        <v>76</v>
      </c>
      <c r="X29" t="s">
        <v>80</v>
      </c>
      <c r="Y29" t="s">
        <v>78</v>
      </c>
    </row>
    <row r="30" spans="1:25" x14ac:dyDescent="0.25">
      <c r="A30">
        <v>1.2511001025820201E+19</v>
      </c>
      <c r="B30" t="s">
        <v>79</v>
      </c>
      <c r="C30">
        <v>50201</v>
      </c>
      <c r="D30">
        <v>511</v>
      </c>
      <c r="E30">
        <v>1</v>
      </c>
      <c r="F30" t="s">
        <v>72</v>
      </c>
      <c r="G30">
        <v>953246</v>
      </c>
      <c r="H30" s="1">
        <v>44743</v>
      </c>
      <c r="I30" t="s">
        <v>73</v>
      </c>
      <c r="J30" t="s">
        <v>74</v>
      </c>
      <c r="K30" t="s">
        <v>75</v>
      </c>
      <c r="L30">
        <v>1000</v>
      </c>
      <c r="P30">
        <v>1</v>
      </c>
      <c r="Q30">
        <v>1000</v>
      </c>
      <c r="R30" t="s">
        <v>76</v>
      </c>
      <c r="X30" t="s">
        <v>81</v>
      </c>
      <c r="Y30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ABC4-6EA0-4354-A8FE-95D4996D2210}">
  <dimension ref="A3:E8"/>
  <sheetViews>
    <sheetView workbookViewId="0"/>
  </sheetViews>
  <sheetFormatPr baseColWidth="10" defaultRowHeight="15" x14ac:dyDescent="0.25"/>
  <cols>
    <col min="1" max="1" width="37.28515625" bestFit="1" customWidth="1"/>
    <col min="2" max="2" width="27.5703125" bestFit="1" customWidth="1"/>
    <col min="3" max="3" width="11" bestFit="1" customWidth="1"/>
    <col min="4" max="4" width="12" bestFit="1" customWidth="1"/>
    <col min="5" max="5" width="12.5703125" bestFit="1" customWidth="1"/>
  </cols>
  <sheetData>
    <row r="3" spans="1:5" x14ac:dyDescent="0.25">
      <c r="A3" s="3" t="s">
        <v>102</v>
      </c>
      <c r="B3" s="3" t="s">
        <v>85</v>
      </c>
    </row>
    <row r="4" spans="1:5" x14ac:dyDescent="0.25">
      <c r="A4" s="3" t="s">
        <v>87</v>
      </c>
      <c r="B4" t="s">
        <v>98</v>
      </c>
      <c r="C4" t="s">
        <v>96</v>
      </c>
      <c r="D4" t="s">
        <v>89</v>
      </c>
      <c r="E4" t="s">
        <v>86</v>
      </c>
    </row>
    <row r="5" spans="1:5" x14ac:dyDescent="0.25">
      <c r="A5" s="4">
        <v>50201</v>
      </c>
      <c r="B5" s="7">
        <v>1331</v>
      </c>
      <c r="C5" s="7">
        <v>7309.8</v>
      </c>
      <c r="D5" s="7">
        <v>18308.399999999998</v>
      </c>
      <c r="E5" s="7">
        <v>26949.199999999997</v>
      </c>
    </row>
    <row r="6" spans="1:5" x14ac:dyDescent="0.25">
      <c r="A6" s="5" t="s">
        <v>72</v>
      </c>
      <c r="B6" s="7">
        <v>1331</v>
      </c>
      <c r="C6" s="7">
        <v>7309.8</v>
      </c>
      <c r="D6" s="7">
        <v>18308.399999999998</v>
      </c>
      <c r="E6" s="7">
        <v>26949.199999999997</v>
      </c>
    </row>
    <row r="7" spans="1:5" x14ac:dyDescent="0.25">
      <c r="A7" s="6" t="s">
        <v>73</v>
      </c>
      <c r="B7" s="7">
        <v>1331</v>
      </c>
      <c r="C7" s="7">
        <v>7309.8</v>
      </c>
      <c r="D7" s="7">
        <v>18308.399999999998</v>
      </c>
      <c r="E7" s="7">
        <v>26949.199999999997</v>
      </c>
    </row>
    <row r="8" spans="1:5" x14ac:dyDescent="0.25">
      <c r="A8" s="4" t="s">
        <v>86</v>
      </c>
      <c r="B8" s="7">
        <v>1331</v>
      </c>
      <c r="C8" s="7">
        <v>7309.8</v>
      </c>
      <c r="D8" s="7">
        <v>18308.399999999998</v>
      </c>
      <c r="E8" s="7">
        <v>26949.199999999997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7"/>
  <sheetViews>
    <sheetView workbookViewId="0">
      <selection sqref="A1:AA7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89</v>
      </c>
      <c r="B2" s="1">
        <v>44743</v>
      </c>
      <c r="C2" t="s">
        <v>90</v>
      </c>
      <c r="D2" s="8" t="s">
        <v>91</v>
      </c>
      <c r="E2">
        <v>50201</v>
      </c>
      <c r="F2">
        <v>12511</v>
      </c>
      <c r="G2" t="s">
        <v>72</v>
      </c>
      <c r="H2">
        <v>3</v>
      </c>
      <c r="I2" t="s">
        <v>76</v>
      </c>
      <c r="J2" t="s">
        <v>73</v>
      </c>
      <c r="K2">
        <v>85088364</v>
      </c>
      <c r="L2" t="s">
        <v>92</v>
      </c>
      <c r="M2" t="s">
        <v>93</v>
      </c>
      <c r="N2" t="s">
        <v>75</v>
      </c>
      <c r="O2">
        <v>8475.4</v>
      </c>
      <c r="S2">
        <v>8475.4</v>
      </c>
      <c r="U2">
        <v>1</v>
      </c>
      <c r="V2">
        <v>8475.4</v>
      </c>
      <c r="Z2" t="s">
        <v>77</v>
      </c>
    </row>
    <row r="3" spans="1:27" x14ac:dyDescent="0.25">
      <c r="A3" t="s">
        <v>89</v>
      </c>
      <c r="B3" s="1">
        <v>44743</v>
      </c>
      <c r="C3" t="s">
        <v>90</v>
      </c>
      <c r="D3" s="8" t="s">
        <v>94</v>
      </c>
      <c r="E3">
        <v>50201</v>
      </c>
      <c r="F3">
        <v>12511</v>
      </c>
      <c r="G3" t="s">
        <v>72</v>
      </c>
      <c r="H3">
        <v>2</v>
      </c>
      <c r="I3" t="s">
        <v>76</v>
      </c>
      <c r="J3" t="s">
        <v>73</v>
      </c>
      <c r="K3">
        <v>85088299</v>
      </c>
      <c r="L3" t="s">
        <v>92</v>
      </c>
      <c r="M3" t="s">
        <v>93</v>
      </c>
      <c r="N3" t="s">
        <v>75</v>
      </c>
      <c r="O3">
        <v>3635.95</v>
      </c>
      <c r="S3">
        <v>3635.95</v>
      </c>
      <c r="U3">
        <v>1</v>
      </c>
      <c r="V3">
        <v>3635.95</v>
      </c>
      <c r="Z3" t="s">
        <v>77</v>
      </c>
    </row>
    <row r="4" spans="1:27" x14ac:dyDescent="0.25">
      <c r="A4" t="s">
        <v>89</v>
      </c>
      <c r="B4" s="1">
        <v>44743</v>
      </c>
      <c r="C4" t="s">
        <v>90</v>
      </c>
      <c r="D4" s="8" t="s">
        <v>95</v>
      </c>
      <c r="E4">
        <v>50201</v>
      </c>
      <c r="F4">
        <v>12511</v>
      </c>
      <c r="G4" t="s">
        <v>72</v>
      </c>
      <c r="H4">
        <v>1</v>
      </c>
      <c r="I4" t="s">
        <v>76</v>
      </c>
      <c r="J4" t="s">
        <v>73</v>
      </c>
      <c r="K4">
        <v>80573087</v>
      </c>
      <c r="L4" t="s">
        <v>92</v>
      </c>
      <c r="M4" t="s">
        <v>93</v>
      </c>
      <c r="N4" t="s">
        <v>75</v>
      </c>
      <c r="O4">
        <v>6197.05</v>
      </c>
      <c r="S4">
        <v>6197.05</v>
      </c>
      <c r="U4">
        <v>1</v>
      </c>
      <c r="V4">
        <v>6197.05</v>
      </c>
      <c r="Z4" t="s">
        <v>81</v>
      </c>
    </row>
    <row r="5" spans="1:27" x14ac:dyDescent="0.25">
      <c r="A5" t="s">
        <v>96</v>
      </c>
      <c r="B5" s="1">
        <v>44743</v>
      </c>
      <c r="C5" t="s">
        <v>90</v>
      </c>
      <c r="D5" s="8" t="s">
        <v>95</v>
      </c>
      <c r="E5">
        <v>50201</v>
      </c>
      <c r="F5">
        <v>12511</v>
      </c>
      <c r="G5" t="s">
        <v>72</v>
      </c>
      <c r="H5">
        <v>1</v>
      </c>
      <c r="I5" t="s">
        <v>76</v>
      </c>
      <c r="J5" t="s">
        <v>73</v>
      </c>
      <c r="K5">
        <v>80573344</v>
      </c>
      <c r="L5" t="s">
        <v>97</v>
      </c>
      <c r="M5" t="s">
        <v>93</v>
      </c>
      <c r="N5" t="s">
        <v>75</v>
      </c>
      <c r="O5">
        <v>7309.8</v>
      </c>
      <c r="S5">
        <v>7309.8</v>
      </c>
      <c r="U5">
        <v>1</v>
      </c>
      <c r="V5">
        <v>7309.8</v>
      </c>
      <c r="Z5" t="s">
        <v>81</v>
      </c>
    </row>
    <row r="6" spans="1:27" x14ac:dyDescent="0.25">
      <c r="A6" t="s">
        <v>98</v>
      </c>
      <c r="B6" s="1">
        <v>44743</v>
      </c>
      <c r="C6" t="s">
        <v>90</v>
      </c>
      <c r="D6" s="8" t="s">
        <v>94</v>
      </c>
      <c r="E6">
        <v>50201</v>
      </c>
      <c r="F6">
        <v>12511</v>
      </c>
      <c r="G6" t="s">
        <v>72</v>
      </c>
      <c r="H6">
        <v>2</v>
      </c>
      <c r="I6" t="s">
        <v>99</v>
      </c>
      <c r="J6" t="s">
        <v>73</v>
      </c>
      <c r="K6">
        <v>7942982</v>
      </c>
      <c r="L6" t="s">
        <v>100</v>
      </c>
      <c r="M6" t="s">
        <v>101</v>
      </c>
      <c r="N6" t="s">
        <v>75</v>
      </c>
      <c r="O6">
        <v>640</v>
      </c>
      <c r="S6">
        <v>640</v>
      </c>
      <c r="U6">
        <v>1</v>
      </c>
      <c r="V6">
        <v>640</v>
      </c>
      <c r="Z6" t="s">
        <v>77</v>
      </c>
    </row>
    <row r="7" spans="1:27" x14ac:dyDescent="0.25">
      <c r="A7" t="s">
        <v>98</v>
      </c>
      <c r="B7" s="1">
        <v>44743</v>
      </c>
      <c r="C7" t="s">
        <v>90</v>
      </c>
      <c r="D7" s="8" t="s">
        <v>95</v>
      </c>
      <c r="E7">
        <v>50201</v>
      </c>
      <c r="F7">
        <v>12511</v>
      </c>
      <c r="G7" t="s">
        <v>72</v>
      </c>
      <c r="H7">
        <v>1</v>
      </c>
      <c r="I7" t="s">
        <v>99</v>
      </c>
      <c r="J7" t="s">
        <v>73</v>
      </c>
      <c r="K7">
        <v>7942427</v>
      </c>
      <c r="L7" t="s">
        <v>100</v>
      </c>
      <c r="M7" t="s">
        <v>101</v>
      </c>
      <c r="N7" t="s">
        <v>75</v>
      </c>
      <c r="O7">
        <v>691</v>
      </c>
      <c r="S7">
        <v>691</v>
      </c>
      <c r="U7">
        <v>1</v>
      </c>
      <c r="V7">
        <v>691</v>
      </c>
      <c r="Z7" t="s">
        <v>81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5DB6-FE43-4CC9-9600-424BC79765CD}">
  <dimension ref="A3:H12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17" bestFit="1" customWidth="1"/>
    <col min="4" max="4" width="12.5703125" bestFit="1" customWidth="1"/>
    <col min="5" max="5" width="20.140625" bestFit="1" customWidth="1"/>
    <col min="6" max="7" width="18.5703125" bestFit="1" customWidth="1"/>
    <col min="8" max="8" width="12.5703125" bestFit="1" customWidth="1"/>
  </cols>
  <sheetData>
    <row r="3" spans="1:8" x14ac:dyDescent="0.25">
      <c r="A3" s="3" t="s">
        <v>88</v>
      </c>
      <c r="F3" s="3" t="s">
        <v>63</v>
      </c>
    </row>
    <row r="4" spans="1:8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109</v>
      </c>
      <c r="G4" t="s">
        <v>115</v>
      </c>
      <c r="H4" t="s">
        <v>86</v>
      </c>
    </row>
    <row r="5" spans="1:8" x14ac:dyDescent="0.25">
      <c r="A5" t="s">
        <v>104</v>
      </c>
      <c r="B5">
        <v>50201</v>
      </c>
      <c r="C5" s="9">
        <v>44771</v>
      </c>
      <c r="D5" t="s">
        <v>114</v>
      </c>
      <c r="E5" t="s">
        <v>203</v>
      </c>
      <c r="F5" s="7">
        <v>16869.150000000001</v>
      </c>
      <c r="G5" s="7">
        <v>36835</v>
      </c>
      <c r="H5" s="7">
        <v>53704.15</v>
      </c>
    </row>
    <row r="6" spans="1:8" x14ac:dyDescent="0.25">
      <c r="A6" t="s">
        <v>104</v>
      </c>
      <c r="B6">
        <v>50201</v>
      </c>
      <c r="C6" s="9">
        <v>44771</v>
      </c>
      <c r="D6" t="s">
        <v>204</v>
      </c>
      <c r="F6" s="7">
        <v>16869.150000000001</v>
      </c>
      <c r="G6" s="7">
        <v>36835</v>
      </c>
      <c r="H6" s="7">
        <v>53704.15</v>
      </c>
    </row>
    <row r="7" spans="1:8" x14ac:dyDescent="0.25">
      <c r="A7" t="s">
        <v>104</v>
      </c>
      <c r="B7">
        <v>50201</v>
      </c>
      <c r="C7" s="9">
        <v>44771</v>
      </c>
      <c r="D7" t="s">
        <v>108</v>
      </c>
      <c r="E7" t="s">
        <v>203</v>
      </c>
      <c r="F7" s="7">
        <v>680</v>
      </c>
      <c r="G7" s="7"/>
      <c r="H7" s="7">
        <v>680</v>
      </c>
    </row>
    <row r="8" spans="1:8" x14ac:dyDescent="0.25">
      <c r="A8" t="s">
        <v>104</v>
      </c>
      <c r="B8">
        <v>50201</v>
      </c>
      <c r="C8" s="9">
        <v>44771</v>
      </c>
      <c r="D8" t="s">
        <v>205</v>
      </c>
      <c r="F8" s="7">
        <v>680</v>
      </c>
      <c r="G8" s="7"/>
      <c r="H8" s="7">
        <v>680</v>
      </c>
    </row>
    <row r="9" spans="1:8" x14ac:dyDescent="0.25">
      <c r="A9" t="s">
        <v>104</v>
      </c>
      <c r="B9">
        <v>50201</v>
      </c>
      <c r="C9" s="9" t="s">
        <v>206</v>
      </c>
      <c r="F9" s="7">
        <v>17549.150000000001</v>
      </c>
      <c r="G9" s="7">
        <v>36835</v>
      </c>
      <c r="H9" s="7">
        <v>54384.15</v>
      </c>
    </row>
    <row r="10" spans="1:8" x14ac:dyDescent="0.25">
      <c r="A10" t="s">
        <v>104</v>
      </c>
      <c r="B10" t="s">
        <v>207</v>
      </c>
      <c r="F10" s="7">
        <v>17549.150000000001</v>
      </c>
      <c r="G10" s="7">
        <v>36835</v>
      </c>
      <c r="H10" s="7">
        <v>54384.15</v>
      </c>
    </row>
    <row r="11" spans="1:8" x14ac:dyDescent="0.25">
      <c r="A11" t="s">
        <v>208</v>
      </c>
      <c r="F11" s="7">
        <v>17549.150000000001</v>
      </c>
      <c r="G11" s="7">
        <v>36835</v>
      </c>
      <c r="H11" s="7">
        <v>54384.15</v>
      </c>
    </row>
    <row r="12" spans="1:8" x14ac:dyDescent="0.25">
      <c r="A12" t="s">
        <v>86</v>
      </c>
      <c r="F12" s="7">
        <v>17549.150000000001</v>
      </c>
      <c r="G12" s="7">
        <v>36835</v>
      </c>
      <c r="H12" s="7">
        <v>54384.15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25"/>
  <sheetViews>
    <sheetView workbookViewId="0">
      <selection sqref="A1:V25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103</v>
      </c>
      <c r="B2" t="s">
        <v>104</v>
      </c>
      <c r="C2">
        <v>50201</v>
      </c>
      <c r="D2">
        <v>3</v>
      </c>
      <c r="E2" s="9">
        <v>44771</v>
      </c>
      <c r="F2">
        <v>1673</v>
      </c>
      <c r="G2" s="8" t="s">
        <v>105</v>
      </c>
      <c r="J2" s="8" t="s">
        <v>106</v>
      </c>
      <c r="L2" t="s">
        <v>107</v>
      </c>
      <c r="M2" t="s">
        <v>108</v>
      </c>
      <c r="N2" t="s">
        <v>109</v>
      </c>
      <c r="P2">
        <v>630</v>
      </c>
      <c r="Q2" s="8" t="s">
        <v>110</v>
      </c>
      <c r="R2" s="8" t="s">
        <v>110</v>
      </c>
      <c r="S2" t="s">
        <v>111</v>
      </c>
    </row>
    <row r="3" spans="1:22" x14ac:dyDescent="0.25">
      <c r="A3" t="s">
        <v>103</v>
      </c>
      <c r="B3" t="s">
        <v>104</v>
      </c>
      <c r="C3">
        <v>50201</v>
      </c>
      <c r="D3">
        <v>1</v>
      </c>
      <c r="E3" s="9">
        <v>44771</v>
      </c>
      <c r="F3">
        <v>250</v>
      </c>
      <c r="G3" s="8" t="s">
        <v>112</v>
      </c>
      <c r="J3" s="8" t="s">
        <v>113</v>
      </c>
      <c r="L3" t="s">
        <v>107</v>
      </c>
      <c r="M3" t="s">
        <v>114</v>
      </c>
      <c r="N3" t="s">
        <v>115</v>
      </c>
      <c r="P3">
        <v>1497</v>
      </c>
      <c r="Q3" s="8" t="s">
        <v>116</v>
      </c>
      <c r="R3" s="8" t="s">
        <v>110</v>
      </c>
      <c r="S3" t="s">
        <v>117</v>
      </c>
      <c r="T3" t="s">
        <v>118</v>
      </c>
      <c r="V3" t="s">
        <v>119</v>
      </c>
    </row>
    <row r="4" spans="1:22" x14ac:dyDescent="0.25">
      <c r="A4" t="s">
        <v>103</v>
      </c>
      <c r="B4" t="s">
        <v>104</v>
      </c>
      <c r="C4">
        <v>50201</v>
      </c>
      <c r="D4">
        <v>3</v>
      </c>
      <c r="E4" s="9">
        <v>44771</v>
      </c>
      <c r="F4">
        <v>1669</v>
      </c>
      <c r="G4" s="8" t="s">
        <v>120</v>
      </c>
      <c r="J4" s="8" t="s">
        <v>121</v>
      </c>
      <c r="L4" t="s">
        <v>107</v>
      </c>
      <c r="M4" t="s">
        <v>114</v>
      </c>
      <c r="N4" t="s">
        <v>109</v>
      </c>
      <c r="P4">
        <v>117</v>
      </c>
      <c r="Q4" s="8" t="s">
        <v>122</v>
      </c>
      <c r="R4" s="8" t="s">
        <v>110</v>
      </c>
      <c r="S4" t="s">
        <v>123</v>
      </c>
    </row>
    <row r="5" spans="1:22" x14ac:dyDescent="0.25">
      <c r="A5" t="s">
        <v>103</v>
      </c>
      <c r="B5" t="s">
        <v>104</v>
      </c>
      <c r="C5">
        <v>50201</v>
      </c>
      <c r="D5">
        <v>1</v>
      </c>
      <c r="E5" s="9">
        <v>44771</v>
      </c>
      <c r="F5">
        <v>243</v>
      </c>
      <c r="G5" s="8" t="s">
        <v>124</v>
      </c>
      <c r="J5" s="8" t="s">
        <v>125</v>
      </c>
      <c r="L5" t="s">
        <v>107</v>
      </c>
      <c r="M5" t="s">
        <v>114</v>
      </c>
      <c r="N5" t="s">
        <v>115</v>
      </c>
      <c r="P5">
        <v>8145</v>
      </c>
      <c r="Q5" s="8" t="s">
        <v>126</v>
      </c>
      <c r="R5" s="8" t="s">
        <v>110</v>
      </c>
      <c r="S5" t="s">
        <v>111</v>
      </c>
      <c r="T5" t="s">
        <v>118</v>
      </c>
      <c r="V5" t="s">
        <v>127</v>
      </c>
    </row>
    <row r="6" spans="1:22" x14ac:dyDescent="0.25">
      <c r="A6" t="s">
        <v>103</v>
      </c>
      <c r="B6" t="s">
        <v>104</v>
      </c>
      <c r="C6">
        <v>50201</v>
      </c>
      <c r="D6">
        <v>1</v>
      </c>
      <c r="E6" s="9">
        <v>44771</v>
      </c>
      <c r="F6">
        <v>270</v>
      </c>
      <c r="G6" s="8" t="s">
        <v>128</v>
      </c>
      <c r="J6" s="8" t="s">
        <v>129</v>
      </c>
      <c r="L6" t="s">
        <v>107</v>
      </c>
      <c r="M6" t="s">
        <v>114</v>
      </c>
      <c r="N6" t="s">
        <v>115</v>
      </c>
      <c r="P6">
        <v>2797</v>
      </c>
      <c r="Q6" s="8" t="s">
        <v>130</v>
      </c>
      <c r="R6" s="8" t="s">
        <v>110</v>
      </c>
      <c r="S6" t="s">
        <v>131</v>
      </c>
      <c r="T6" t="s">
        <v>132</v>
      </c>
      <c r="V6" t="s">
        <v>119</v>
      </c>
    </row>
    <row r="7" spans="1:22" x14ac:dyDescent="0.25">
      <c r="A7" t="s">
        <v>103</v>
      </c>
      <c r="B7" t="s">
        <v>104</v>
      </c>
      <c r="C7">
        <v>50201</v>
      </c>
      <c r="D7">
        <v>3</v>
      </c>
      <c r="E7" s="9">
        <v>44771</v>
      </c>
      <c r="F7">
        <v>1678</v>
      </c>
      <c r="G7" s="8" t="s">
        <v>133</v>
      </c>
      <c r="J7" s="8" t="s">
        <v>134</v>
      </c>
      <c r="L7" t="s">
        <v>107</v>
      </c>
      <c r="M7" t="s">
        <v>114</v>
      </c>
      <c r="N7" t="s">
        <v>115</v>
      </c>
      <c r="P7">
        <v>3985</v>
      </c>
      <c r="Q7" s="8" t="s">
        <v>135</v>
      </c>
      <c r="R7" s="8" t="s">
        <v>110</v>
      </c>
      <c r="S7" t="s">
        <v>136</v>
      </c>
      <c r="T7" t="s">
        <v>137</v>
      </c>
      <c r="V7" t="s">
        <v>119</v>
      </c>
    </row>
    <row r="8" spans="1:22" x14ac:dyDescent="0.25">
      <c r="A8" t="s">
        <v>103</v>
      </c>
      <c r="B8" t="s">
        <v>104</v>
      </c>
      <c r="C8">
        <v>50201</v>
      </c>
      <c r="D8">
        <v>1</v>
      </c>
      <c r="E8" s="9">
        <v>44771</v>
      </c>
      <c r="F8">
        <v>253</v>
      </c>
      <c r="G8" s="8" t="s">
        <v>138</v>
      </c>
      <c r="J8" s="8" t="s">
        <v>139</v>
      </c>
      <c r="L8" t="s">
        <v>107</v>
      </c>
      <c r="M8" t="s">
        <v>114</v>
      </c>
      <c r="N8" t="s">
        <v>109</v>
      </c>
      <c r="P8">
        <v>1359.15</v>
      </c>
      <c r="Q8" s="8" t="s">
        <v>140</v>
      </c>
      <c r="R8" s="8" t="s">
        <v>110</v>
      </c>
      <c r="S8" t="s">
        <v>141</v>
      </c>
    </row>
    <row r="9" spans="1:22" x14ac:dyDescent="0.25">
      <c r="A9" t="s">
        <v>103</v>
      </c>
      <c r="B9" t="s">
        <v>104</v>
      </c>
      <c r="C9">
        <v>50201</v>
      </c>
      <c r="D9">
        <v>2</v>
      </c>
      <c r="E9" s="9">
        <v>44771</v>
      </c>
      <c r="F9">
        <v>3433</v>
      </c>
      <c r="G9" s="8" t="s">
        <v>142</v>
      </c>
      <c r="J9" s="8" t="s">
        <v>143</v>
      </c>
      <c r="L9" t="s">
        <v>107</v>
      </c>
      <c r="M9" t="s">
        <v>114</v>
      </c>
      <c r="N9" t="s">
        <v>109</v>
      </c>
      <c r="P9">
        <v>324</v>
      </c>
      <c r="Q9" s="8" t="s">
        <v>144</v>
      </c>
      <c r="R9" s="8" t="s">
        <v>110</v>
      </c>
      <c r="S9" t="s">
        <v>145</v>
      </c>
    </row>
    <row r="10" spans="1:22" x14ac:dyDescent="0.25">
      <c r="A10" t="s">
        <v>103</v>
      </c>
      <c r="B10" t="s">
        <v>104</v>
      </c>
      <c r="C10">
        <v>50201</v>
      </c>
      <c r="D10">
        <v>2</v>
      </c>
      <c r="E10" s="9">
        <v>44771</v>
      </c>
      <c r="F10">
        <v>3424</v>
      </c>
      <c r="G10" s="8" t="s">
        <v>146</v>
      </c>
      <c r="J10" s="8" t="s">
        <v>147</v>
      </c>
      <c r="L10" t="s">
        <v>107</v>
      </c>
      <c r="M10" t="s">
        <v>114</v>
      </c>
      <c r="N10" t="s">
        <v>109</v>
      </c>
      <c r="P10">
        <v>179</v>
      </c>
      <c r="Q10" s="8" t="s">
        <v>148</v>
      </c>
      <c r="R10" s="8" t="s">
        <v>110</v>
      </c>
      <c r="S10" t="s">
        <v>149</v>
      </c>
    </row>
    <row r="11" spans="1:22" x14ac:dyDescent="0.25">
      <c r="A11" t="s">
        <v>103</v>
      </c>
      <c r="B11" t="s">
        <v>104</v>
      </c>
      <c r="C11">
        <v>50201</v>
      </c>
      <c r="D11">
        <v>1</v>
      </c>
      <c r="E11" s="9">
        <v>44771</v>
      </c>
      <c r="F11">
        <v>262</v>
      </c>
      <c r="G11" s="8" t="s">
        <v>150</v>
      </c>
      <c r="J11" s="8" t="s">
        <v>151</v>
      </c>
      <c r="L11" t="s">
        <v>107</v>
      </c>
      <c r="M11" t="s">
        <v>114</v>
      </c>
      <c r="N11" t="s">
        <v>115</v>
      </c>
      <c r="P11">
        <v>4679</v>
      </c>
      <c r="Q11" s="8" t="s">
        <v>152</v>
      </c>
      <c r="R11" s="8" t="s">
        <v>110</v>
      </c>
      <c r="S11" t="s">
        <v>153</v>
      </c>
      <c r="T11" t="s">
        <v>154</v>
      </c>
      <c r="V11" t="s">
        <v>127</v>
      </c>
    </row>
    <row r="12" spans="1:22" x14ac:dyDescent="0.25">
      <c r="A12" t="s">
        <v>103</v>
      </c>
      <c r="B12" t="s">
        <v>104</v>
      </c>
      <c r="C12">
        <v>50201</v>
      </c>
      <c r="D12">
        <v>3</v>
      </c>
      <c r="E12" s="9">
        <v>44771</v>
      </c>
      <c r="F12">
        <v>1686</v>
      </c>
      <c r="G12" s="8" t="s">
        <v>155</v>
      </c>
      <c r="J12" s="8" t="s">
        <v>156</v>
      </c>
      <c r="L12" t="s">
        <v>107</v>
      </c>
      <c r="M12" t="s">
        <v>108</v>
      </c>
      <c r="N12" t="s">
        <v>109</v>
      </c>
      <c r="P12">
        <v>30</v>
      </c>
      <c r="Q12" s="8" t="s">
        <v>110</v>
      </c>
      <c r="R12" s="8" t="s">
        <v>110</v>
      </c>
    </row>
    <row r="13" spans="1:22" x14ac:dyDescent="0.25">
      <c r="A13" t="s">
        <v>103</v>
      </c>
      <c r="B13" t="s">
        <v>104</v>
      </c>
      <c r="C13">
        <v>50201</v>
      </c>
      <c r="D13">
        <v>2</v>
      </c>
      <c r="E13" s="9">
        <v>44771</v>
      </c>
      <c r="F13">
        <v>3407</v>
      </c>
      <c r="G13" s="8" t="s">
        <v>157</v>
      </c>
      <c r="J13" s="8" t="s">
        <v>158</v>
      </c>
      <c r="L13" t="s">
        <v>107</v>
      </c>
      <c r="M13" t="s">
        <v>108</v>
      </c>
      <c r="N13" t="s">
        <v>109</v>
      </c>
      <c r="P13">
        <v>10</v>
      </c>
      <c r="Q13" s="8" t="s">
        <v>110</v>
      </c>
      <c r="R13" s="8" t="s">
        <v>110</v>
      </c>
    </row>
    <row r="14" spans="1:22" x14ac:dyDescent="0.25">
      <c r="A14" t="s">
        <v>103</v>
      </c>
      <c r="B14" t="s">
        <v>104</v>
      </c>
      <c r="C14">
        <v>50201</v>
      </c>
      <c r="D14">
        <v>1</v>
      </c>
      <c r="E14" s="9">
        <v>44771</v>
      </c>
      <c r="F14">
        <v>271</v>
      </c>
      <c r="G14" s="8" t="s">
        <v>159</v>
      </c>
      <c r="J14" s="8" t="s">
        <v>160</v>
      </c>
      <c r="L14" t="s">
        <v>107</v>
      </c>
      <c r="M14" t="s">
        <v>114</v>
      </c>
      <c r="N14" t="s">
        <v>115</v>
      </c>
      <c r="P14">
        <v>5999</v>
      </c>
      <c r="Q14" s="8" t="s">
        <v>161</v>
      </c>
      <c r="R14" s="8" t="s">
        <v>110</v>
      </c>
      <c r="S14" t="s">
        <v>162</v>
      </c>
      <c r="T14" t="s">
        <v>137</v>
      </c>
      <c r="V14" t="s">
        <v>127</v>
      </c>
    </row>
    <row r="15" spans="1:22" x14ac:dyDescent="0.25">
      <c r="A15" t="s">
        <v>103</v>
      </c>
      <c r="B15" t="s">
        <v>104</v>
      </c>
      <c r="C15">
        <v>50201</v>
      </c>
      <c r="D15">
        <v>2</v>
      </c>
      <c r="E15" s="9">
        <v>44771</v>
      </c>
      <c r="F15">
        <v>3423</v>
      </c>
      <c r="G15" s="8" t="s">
        <v>163</v>
      </c>
      <c r="J15" s="8" t="s">
        <v>164</v>
      </c>
      <c r="L15" t="s">
        <v>107</v>
      </c>
      <c r="M15" t="s">
        <v>114</v>
      </c>
      <c r="N15" t="s">
        <v>109</v>
      </c>
      <c r="P15">
        <v>4197</v>
      </c>
      <c r="Q15" s="8" t="s">
        <v>165</v>
      </c>
      <c r="R15" s="8" t="s">
        <v>110</v>
      </c>
      <c r="S15" t="s">
        <v>166</v>
      </c>
    </row>
    <row r="16" spans="1:22" x14ac:dyDescent="0.25">
      <c r="A16" t="s">
        <v>103</v>
      </c>
      <c r="B16" t="s">
        <v>104</v>
      </c>
      <c r="C16">
        <v>50201</v>
      </c>
      <c r="D16">
        <v>2</v>
      </c>
      <c r="E16" s="9">
        <v>44771</v>
      </c>
      <c r="F16">
        <v>3413</v>
      </c>
      <c r="G16" s="8" t="s">
        <v>167</v>
      </c>
      <c r="J16" s="8" t="s">
        <v>168</v>
      </c>
      <c r="L16" t="s">
        <v>107</v>
      </c>
      <c r="M16" t="s">
        <v>114</v>
      </c>
      <c r="N16" t="s">
        <v>115</v>
      </c>
      <c r="P16">
        <v>656</v>
      </c>
      <c r="Q16" s="8" t="s">
        <v>169</v>
      </c>
      <c r="R16" s="8" t="s">
        <v>110</v>
      </c>
      <c r="S16" t="s">
        <v>170</v>
      </c>
      <c r="T16" t="s">
        <v>171</v>
      </c>
      <c r="V16" t="s">
        <v>172</v>
      </c>
    </row>
    <row r="17" spans="1:22" x14ac:dyDescent="0.25">
      <c r="A17" t="s">
        <v>103</v>
      </c>
      <c r="B17" t="s">
        <v>104</v>
      </c>
      <c r="C17">
        <v>50201</v>
      </c>
      <c r="D17">
        <v>3</v>
      </c>
      <c r="E17" s="9">
        <v>44771</v>
      </c>
      <c r="F17">
        <v>1688</v>
      </c>
      <c r="G17" s="8" t="s">
        <v>173</v>
      </c>
      <c r="J17" s="8" t="s">
        <v>174</v>
      </c>
      <c r="L17" t="s">
        <v>107</v>
      </c>
      <c r="M17" t="s">
        <v>114</v>
      </c>
      <c r="N17" t="s">
        <v>115</v>
      </c>
      <c r="P17">
        <v>2299</v>
      </c>
      <c r="Q17" s="8" t="s">
        <v>175</v>
      </c>
      <c r="R17" s="8" t="s">
        <v>110</v>
      </c>
      <c r="S17" t="s">
        <v>176</v>
      </c>
      <c r="T17" t="s">
        <v>137</v>
      </c>
      <c r="V17" t="s">
        <v>127</v>
      </c>
    </row>
    <row r="18" spans="1:22" x14ac:dyDescent="0.25">
      <c r="A18" t="s">
        <v>103</v>
      </c>
      <c r="B18" t="s">
        <v>104</v>
      </c>
      <c r="C18">
        <v>50201</v>
      </c>
      <c r="D18">
        <v>1</v>
      </c>
      <c r="E18" s="9">
        <v>44771</v>
      </c>
      <c r="F18">
        <v>248</v>
      </c>
      <c r="G18" s="8" t="s">
        <v>177</v>
      </c>
      <c r="J18" s="8" t="s">
        <v>178</v>
      </c>
      <c r="L18" t="s">
        <v>107</v>
      </c>
      <c r="M18" t="s">
        <v>114</v>
      </c>
      <c r="N18" t="s">
        <v>115</v>
      </c>
      <c r="P18">
        <v>3391</v>
      </c>
      <c r="Q18" s="8" t="s">
        <v>179</v>
      </c>
      <c r="R18" s="8" t="s">
        <v>110</v>
      </c>
      <c r="S18" t="s">
        <v>180</v>
      </c>
      <c r="T18" t="s">
        <v>132</v>
      </c>
      <c r="V18" t="s">
        <v>119</v>
      </c>
    </row>
    <row r="19" spans="1:22" x14ac:dyDescent="0.25">
      <c r="A19" t="s">
        <v>103</v>
      </c>
      <c r="B19" t="s">
        <v>104</v>
      </c>
      <c r="C19">
        <v>50201</v>
      </c>
      <c r="D19">
        <v>1</v>
      </c>
      <c r="E19" s="9">
        <v>44771</v>
      </c>
      <c r="F19">
        <v>248</v>
      </c>
      <c r="G19" s="8" t="s">
        <v>177</v>
      </c>
      <c r="J19" s="8" t="s">
        <v>178</v>
      </c>
      <c r="L19" t="s">
        <v>107</v>
      </c>
      <c r="M19" t="s">
        <v>114</v>
      </c>
      <c r="N19" t="s">
        <v>115</v>
      </c>
      <c r="P19">
        <v>2003</v>
      </c>
      <c r="Q19" s="8" t="s">
        <v>179</v>
      </c>
      <c r="R19" s="8" t="s">
        <v>110</v>
      </c>
      <c r="S19" t="s">
        <v>180</v>
      </c>
      <c r="T19" t="s">
        <v>154</v>
      </c>
      <c r="V19" t="s">
        <v>119</v>
      </c>
    </row>
    <row r="20" spans="1:22" x14ac:dyDescent="0.25">
      <c r="A20" t="s">
        <v>103</v>
      </c>
      <c r="B20" t="s">
        <v>104</v>
      </c>
      <c r="C20">
        <v>50201</v>
      </c>
      <c r="D20">
        <v>1</v>
      </c>
      <c r="E20" s="9">
        <v>44771</v>
      </c>
      <c r="F20">
        <v>244</v>
      </c>
      <c r="G20" s="8" t="s">
        <v>181</v>
      </c>
      <c r="J20" s="8" t="s">
        <v>182</v>
      </c>
      <c r="L20" t="s">
        <v>107</v>
      </c>
      <c r="M20" t="s">
        <v>108</v>
      </c>
      <c r="N20" t="s">
        <v>109</v>
      </c>
      <c r="P20">
        <v>10</v>
      </c>
      <c r="Q20" s="8" t="s">
        <v>110</v>
      </c>
      <c r="R20" s="8" t="s">
        <v>110</v>
      </c>
    </row>
    <row r="21" spans="1:22" x14ac:dyDescent="0.25">
      <c r="A21" t="s">
        <v>103</v>
      </c>
      <c r="B21" t="s">
        <v>104</v>
      </c>
      <c r="C21">
        <v>50201</v>
      </c>
      <c r="D21">
        <v>2</v>
      </c>
      <c r="E21" s="9">
        <v>44771</v>
      </c>
      <c r="F21">
        <v>3420</v>
      </c>
      <c r="G21" s="8" t="s">
        <v>183</v>
      </c>
      <c r="J21" s="8" t="s">
        <v>184</v>
      </c>
      <c r="L21" t="s">
        <v>107</v>
      </c>
      <c r="M21" t="s">
        <v>114</v>
      </c>
      <c r="N21" t="s">
        <v>115</v>
      </c>
      <c r="P21">
        <v>1197</v>
      </c>
      <c r="Q21" s="8" t="s">
        <v>185</v>
      </c>
      <c r="R21" s="8" t="s">
        <v>110</v>
      </c>
      <c r="S21" t="s">
        <v>186</v>
      </c>
      <c r="T21" t="s">
        <v>171</v>
      </c>
      <c r="V21" t="s">
        <v>187</v>
      </c>
    </row>
    <row r="22" spans="1:22" x14ac:dyDescent="0.25">
      <c r="A22" t="s">
        <v>103</v>
      </c>
      <c r="B22" t="s">
        <v>104</v>
      </c>
      <c r="C22">
        <v>50201</v>
      </c>
      <c r="D22">
        <v>1</v>
      </c>
      <c r="E22" s="9">
        <v>44771</v>
      </c>
      <c r="F22">
        <v>260</v>
      </c>
      <c r="G22" s="8" t="s">
        <v>188</v>
      </c>
      <c r="J22" s="8" t="s">
        <v>189</v>
      </c>
      <c r="L22" t="s">
        <v>107</v>
      </c>
      <c r="M22" t="s">
        <v>114</v>
      </c>
      <c r="N22" t="s">
        <v>109</v>
      </c>
      <c r="P22">
        <v>5297</v>
      </c>
      <c r="Q22" s="8" t="s">
        <v>190</v>
      </c>
      <c r="R22" s="8" t="s">
        <v>110</v>
      </c>
      <c r="S22" t="s">
        <v>191</v>
      </c>
    </row>
    <row r="23" spans="1:22" x14ac:dyDescent="0.25">
      <c r="A23" t="s">
        <v>103</v>
      </c>
      <c r="B23" t="s">
        <v>104</v>
      </c>
      <c r="C23">
        <v>50201</v>
      </c>
      <c r="D23">
        <v>2</v>
      </c>
      <c r="E23" s="9">
        <v>44771</v>
      </c>
      <c r="F23">
        <v>3431</v>
      </c>
      <c r="G23" s="8" t="s">
        <v>192</v>
      </c>
      <c r="J23" s="8" t="s">
        <v>193</v>
      </c>
      <c r="L23" t="s">
        <v>107</v>
      </c>
      <c r="M23" t="s">
        <v>114</v>
      </c>
      <c r="N23" t="s">
        <v>109</v>
      </c>
      <c r="P23">
        <v>99</v>
      </c>
      <c r="Q23" s="8" t="s">
        <v>194</v>
      </c>
      <c r="R23" s="8" t="s">
        <v>110</v>
      </c>
      <c r="S23" t="s">
        <v>195</v>
      </c>
    </row>
    <row r="24" spans="1:22" x14ac:dyDescent="0.25">
      <c r="A24" t="s">
        <v>103</v>
      </c>
      <c r="B24" t="s">
        <v>104</v>
      </c>
      <c r="C24">
        <v>50201</v>
      </c>
      <c r="D24">
        <v>1</v>
      </c>
      <c r="E24" s="9">
        <v>44771</v>
      </c>
      <c r="F24">
        <v>256</v>
      </c>
      <c r="G24" s="8" t="s">
        <v>196</v>
      </c>
      <c r="J24" s="8" t="s">
        <v>197</v>
      </c>
      <c r="L24" t="s">
        <v>107</v>
      </c>
      <c r="M24" t="s">
        <v>114</v>
      </c>
      <c r="N24" t="s">
        <v>109</v>
      </c>
      <c r="P24">
        <v>5297</v>
      </c>
      <c r="Q24" s="8" t="s">
        <v>198</v>
      </c>
      <c r="R24" s="8" t="s">
        <v>110</v>
      </c>
      <c r="S24" t="s">
        <v>191</v>
      </c>
    </row>
    <row r="25" spans="1:22" x14ac:dyDescent="0.25">
      <c r="A25" t="s">
        <v>103</v>
      </c>
      <c r="B25" t="s">
        <v>104</v>
      </c>
      <c r="C25">
        <v>50201</v>
      </c>
      <c r="D25">
        <v>1</v>
      </c>
      <c r="E25" s="9">
        <v>44771</v>
      </c>
      <c r="F25">
        <v>263</v>
      </c>
      <c r="G25" s="8" t="s">
        <v>199</v>
      </c>
      <c r="J25" s="8" t="s">
        <v>200</v>
      </c>
      <c r="L25" t="s">
        <v>107</v>
      </c>
      <c r="M25" t="s">
        <v>114</v>
      </c>
      <c r="N25" t="s">
        <v>115</v>
      </c>
      <c r="P25">
        <v>187</v>
      </c>
      <c r="Q25" s="8" t="s">
        <v>201</v>
      </c>
      <c r="R25" s="8" t="s">
        <v>110</v>
      </c>
      <c r="S25" t="s">
        <v>202</v>
      </c>
      <c r="T25" t="s">
        <v>137</v>
      </c>
      <c r="V25" t="s">
        <v>119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2022-08-01T16:04:43Z</dcterms:modified>
</cp:coreProperties>
</file>