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tables/table2.xml" ContentType="application/vnd.openxmlformats-officedocument.spreadsheetml.table+xml"/>
  <Override PartName="/xl/pivotTables/pivotTable2.xml" ContentType="application/vnd.openxmlformats-officedocument.spreadsheetml.pivotTable+xml"/>
  <Override PartName="/xl/tables/table3.xml" ContentType="application/vnd.openxmlformats-officedocument.spreadsheetml.table+xml"/>
  <Override PartName="/xl/pivotTables/pivotTable3.xml" ContentType="application/vnd.openxmlformats-officedocument.spreadsheetml.pivot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3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ristian_coronado\Documents\UiPath\Cuadre de Cierre de Caja-REF\Data\Output\Cuadre Cajas\"/>
    </mc:Choice>
  </mc:AlternateContent>
  <xr:revisionPtr revIDLastSave="0" documentId="13_ncr:1_{4151A6C1-20B8-4EDC-8CB7-5F663175BFF9}" xr6:coauthVersionLast="47" xr6:coauthVersionMax="47" xr10:uidLastSave="{00000000-0000-0000-0000-000000000000}"/>
  <bookViews>
    <workbookView xWindow="3120" yWindow="3120" windowWidth="21600" windowHeight="11385" xr2:uid="{00000000-000D-0000-FFFF-FFFF00000000}"/>
  </bookViews>
  <sheets>
    <sheet name="Cierre" sheetId="6" r:id="rId1"/>
    <sheet name="tblTarjetas" sheetId="7" state="hidden" r:id="rId2"/>
    <sheet name="Tarjetas" sheetId="1" state="hidden" r:id="rId3"/>
    <sheet name="tblDepositos" sheetId="8" state="hidden" r:id="rId4"/>
    <sheet name="Depositos" sheetId="2" state="hidden" r:id="rId5"/>
    <sheet name="tblTransaccional" sheetId="9" state="hidden" r:id="rId6"/>
    <sheet name="Transaccional" sheetId="5" state="hidden" r:id="rId7"/>
  </sheets>
  <calcPr calcId="162913"/>
  <pivotCaches>
    <pivotCache cacheId="49" r:id="rId8"/>
    <pivotCache cacheId="50" r:id="rId9"/>
    <pivotCache cacheId="51" r:id="rId10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<sst xmlns="http://schemas.openxmlformats.org/spreadsheetml/2006/main" count="846" uniqueCount="251">
  <si>
    <t>NÚMERO TRANSACCION</t>
  </si>
  <si>
    <t>DESC CUENTA</t>
  </si>
  <si>
    <t>CENTRO ANALISIS</t>
  </si>
  <si>
    <t>RI</t>
  </si>
  <si>
    <t>NO CAJA</t>
  </si>
  <si>
    <t>DESC ALMACEN</t>
  </si>
  <si>
    <t>REFERENCIA</t>
  </si>
  <si>
    <t>PERIODO CONTABLE</t>
  </si>
  <si>
    <t>FECHA AUTORIZACIÓN</t>
  </si>
  <si>
    <t>TIPO PROMOCIÓN</t>
  </si>
  <si>
    <t>MONEDA</t>
  </si>
  <si>
    <t>MONTO</t>
  </si>
  <si>
    <t>NUMERO CONFIRMADO</t>
  </si>
  <si>
    <t>Monto Confirmado</t>
  </si>
  <si>
    <t>Diferencia</t>
  </si>
  <si>
    <t>TASA DE CAMBIO</t>
  </si>
  <si>
    <t>MONTO MNL</t>
  </si>
  <si>
    <t>ESTADO</t>
  </si>
  <si>
    <t>FECHA BANCO</t>
  </si>
  <si>
    <t>NÚMERO DE DEPOSITO</t>
  </si>
  <si>
    <t>NÚMERO CCF</t>
  </si>
  <si>
    <t>FECHA CONFIRMACION</t>
  </si>
  <si>
    <t>FECHA CONTABLE</t>
  </si>
  <si>
    <t>EMPLEADO</t>
  </si>
  <si>
    <t>ACTUALIZADO POR</t>
  </si>
  <si>
    <t>Compañia</t>
  </si>
  <si>
    <t>Período</t>
  </si>
  <si>
    <t>Tipo</t>
  </si>
  <si>
    <t>Número Transacción</t>
  </si>
  <si>
    <t>Centro Analisis</t>
  </si>
  <si>
    <t>Tienda</t>
  </si>
  <si>
    <t>Desc Almacen</t>
  </si>
  <si>
    <t>Caja</t>
  </si>
  <si>
    <t>Estado</t>
  </si>
  <si>
    <t>Fecha deposito</t>
  </si>
  <si>
    <t>Numero Deposito</t>
  </si>
  <si>
    <t>Numero Cuenta</t>
  </si>
  <si>
    <t>Desc Cuenta</t>
  </si>
  <si>
    <t>Moneda</t>
  </si>
  <si>
    <t>Monto</t>
  </si>
  <si>
    <t>Fecha Banco</t>
  </si>
  <si>
    <t>Número Déposito Confirmado</t>
  </si>
  <si>
    <t>Número Cuenta Confirmada</t>
  </si>
  <si>
    <t>Tasa de Cambio</t>
  </si>
  <si>
    <t>Monto MNL</t>
  </si>
  <si>
    <t>Motivo</t>
  </si>
  <si>
    <t>Fecha confirmacion</t>
  </si>
  <si>
    <t>Fecha Contabilización</t>
  </si>
  <si>
    <t>Empleado</t>
  </si>
  <si>
    <t>Actualizado por</t>
  </si>
  <si>
    <t>CADENA</t>
  </si>
  <si>
    <t>TIENDA</t>
  </si>
  <si>
    <t>CDA</t>
  </si>
  <si>
    <t>CAJA</t>
  </si>
  <si>
    <t>FECHA TRANSACCION</t>
  </si>
  <si>
    <t>CORRELATIVO CAJA</t>
  </si>
  <si>
    <t>No. TRANSACCION</t>
  </si>
  <si>
    <t>TRANSACCION ORIGINAL (Devolución)</t>
  </si>
  <si>
    <t>TRANSACCIÓN CAJA ORIGINAL(Devolución)</t>
  </si>
  <si>
    <t>No. DOCUMENTO</t>
  </si>
  <si>
    <t>NUMERO DE SOLICITUD</t>
  </si>
  <si>
    <t>TIPO DOCUMENTO</t>
  </si>
  <si>
    <t>TRANSACCIONES CAJA</t>
  </si>
  <si>
    <t>FORMA DE PAGO</t>
  </si>
  <si>
    <t>CODIGO DE RAZON</t>
  </si>
  <si>
    <t>NUM_COTIZACON</t>
  </si>
  <si>
    <t>NUM_CUENTA</t>
  </si>
  <si>
    <t>NOMBRE_CLIENTE</t>
  </si>
  <si>
    <t>BANCO</t>
  </si>
  <si>
    <t>AUTORIZACION</t>
  </si>
  <si>
    <t>PROMOCION</t>
  </si>
  <si>
    <t>Union Comercial de Guatemala, S.A. - Banco G&amp;T Continental, S.A.</t>
  </si>
  <si>
    <t>UNICOMER-PLAZA ESPA�A</t>
  </si>
  <si>
    <t>29/07/2022</t>
  </si>
  <si>
    <t>VISANET 6 PAGOS</t>
  </si>
  <si>
    <t>GTQ</t>
  </si>
  <si>
    <t>NOC</t>
  </si>
  <si>
    <t>CLAUDIA ISELA SANTIZO SANCHEZ</t>
  </si>
  <si>
    <t>system</t>
  </si>
  <si>
    <t>Union Comercial de Guatemala, S.A. - Banco de America Central, S.A.</t>
  </si>
  <si>
    <t>CREDOMATIC 12 PAGOS</t>
  </si>
  <si>
    <t>YUDI MARINE MENDEZ DEL CID</t>
  </si>
  <si>
    <t>VISANET 3 PAGOS</t>
  </si>
  <si>
    <t>VISANET 12 PAGOS</t>
  </si>
  <si>
    <t>TARJETA</t>
  </si>
  <si>
    <t>YESSICA MARLENY DE LEON AYALA</t>
  </si>
  <si>
    <t>VISANET 10 PAGOS</t>
  </si>
  <si>
    <t>VISANET 36 PAGO</t>
  </si>
  <si>
    <t>Etiquetas de columna</t>
  </si>
  <si>
    <t>Total general</t>
  </si>
  <si>
    <t>Etiquetas de fila</t>
  </si>
  <si>
    <t>Suma de MONTO</t>
  </si>
  <si>
    <t>UNICOSERVI</t>
  </si>
  <si>
    <t>CSH</t>
  </si>
  <si>
    <t>12512000126120220729</t>
  </si>
  <si>
    <t>000-000908-4</t>
  </si>
  <si>
    <t>Banco Industrial, S.A.</t>
  </si>
  <si>
    <t>12512000126220220729</t>
  </si>
  <si>
    <t>12512000126020220729</t>
  </si>
  <si>
    <t>UNICOMER</t>
  </si>
  <si>
    <t>12512006064420220729</t>
  </si>
  <si>
    <t>CON</t>
  </si>
  <si>
    <t>000-063091-3</t>
  </si>
  <si>
    <t>Confirmación Automática</t>
  </si>
  <si>
    <t>31/07/2022</t>
  </si>
  <si>
    <t>JUAN MANUEL MENDEZ PAZ</t>
  </si>
  <si>
    <t>BLUESTART GUATEMALA, S.A.</t>
  </si>
  <si>
    <t>NRGL</t>
  </si>
  <si>
    <t>066-0030603-2</t>
  </si>
  <si>
    <t>Banco G&amp;T C</t>
  </si>
  <si>
    <t>Suma de Monto</t>
  </si>
  <si>
    <t>LA CURACAO</t>
  </si>
  <si>
    <t>CRC CENTRO PLAZUELA</t>
  </si>
  <si>
    <t>12512004191220220729</t>
  </si>
  <si>
    <t>94D1BE6B1424704599</t>
  </si>
  <si>
    <t>Factura Consumidor Final</t>
  </si>
  <si>
    <t>Ventas Contado</t>
  </si>
  <si>
    <t>Tarjeta de Credito</t>
  </si>
  <si>
    <t/>
  </si>
  <si>
    <t xml:space="preserve">SERGIO   MORATAYA  </t>
  </si>
  <si>
    <t>OTROS BANCOS</t>
  </si>
  <si>
    <t>Visanet10Pagos</t>
  </si>
  <si>
    <t>12512005472120220729</t>
  </si>
  <si>
    <t>8896F6EF3267905826</t>
  </si>
  <si>
    <t>Venta Cotización contado</t>
  </si>
  <si>
    <t>125122102203BT</t>
  </si>
  <si>
    <t xml:space="preserve">MIGUEL   RIVERO  </t>
  </si>
  <si>
    <t>Card</t>
  </si>
  <si>
    <t>12512004188720220729</t>
  </si>
  <si>
    <t>1FE5F3761022708831</t>
  </si>
  <si>
    <t>Efectivo</t>
  </si>
  <si>
    <t>12512006064320220729</t>
  </si>
  <si>
    <t>EA3083F6781536354</t>
  </si>
  <si>
    <t>1251222022032V</t>
  </si>
  <si>
    <t xml:space="preserve">MAGDALENA    DONIS DELGADO </t>
  </si>
  <si>
    <t>12512004189820220729</t>
  </si>
  <si>
    <t>22E021BA307513762</t>
  </si>
  <si>
    <t>125122462202QN</t>
  </si>
  <si>
    <t xml:space="preserve">GUARITO    EXPRESS S.A  </t>
  </si>
  <si>
    <t>BANCO DE DESARROLLO RURAL, S.A</t>
  </si>
  <si>
    <t>Visanet3Pagos</t>
  </si>
  <si>
    <t>12512004191320220729</t>
  </si>
  <si>
    <t>AE41AD3B3337898901</t>
  </si>
  <si>
    <t xml:space="preserve">JORGE    GUZMAN  </t>
  </si>
  <si>
    <t>Visanet6Pagos</t>
  </si>
  <si>
    <t>12512004191520220729</t>
  </si>
  <si>
    <t>14E22B6D3899281066</t>
  </si>
  <si>
    <t xml:space="preserve">LESLIEY  JOHANA   BELTRAN  </t>
  </si>
  <si>
    <t>Visanet12Pagos</t>
  </si>
  <si>
    <t>12512004187020220729</t>
  </si>
  <si>
    <t>E4BCADFC3228519894</t>
  </si>
  <si>
    <t>1251223922026N</t>
  </si>
  <si>
    <t xml:space="preserve">BORIS   CERMEÑO  </t>
  </si>
  <si>
    <t>BANCO ANTIGUA, S.A.</t>
  </si>
  <si>
    <t>12512004191120220729</t>
  </si>
  <si>
    <t>9DC16EA72762688998</t>
  </si>
  <si>
    <t>12512230220297</t>
  </si>
  <si>
    <t>12512005470920220729</t>
  </si>
  <si>
    <t>3DF706C82069778375</t>
  </si>
  <si>
    <t>12512230220293</t>
  </si>
  <si>
    <t>SAMUEL JOSUE VICTORIO CUNCHICH</t>
  </si>
  <si>
    <t>Puntos</t>
  </si>
  <si>
    <t>12512004190220220729</t>
  </si>
  <si>
    <t>EC682F772888123985</t>
  </si>
  <si>
    <t>12512004189120220729</t>
  </si>
  <si>
    <t>98CD91EC3395633362</t>
  </si>
  <si>
    <t>12512220220333</t>
  </si>
  <si>
    <t>DANILO DE JESUS ARGUETA MORALES</t>
  </si>
  <si>
    <t>Visanet36Pago</t>
  </si>
  <si>
    <t>12512005471120220729</t>
  </si>
  <si>
    <t>A2E5C951829769970</t>
  </si>
  <si>
    <t>ASOCIACION DE VECINOS DEL  PEÑON</t>
  </si>
  <si>
    <t>BANCO DE AMÉRICA CENTRAL, S.A</t>
  </si>
  <si>
    <t>12512006062520220729</t>
  </si>
  <si>
    <t>C70E53431547128644</t>
  </si>
  <si>
    <t>12512218220302</t>
  </si>
  <si>
    <t>LUCRECIA ANABELLA GONZALEZ ALVAREZ</t>
  </si>
  <si>
    <t>12512004188320220729</t>
  </si>
  <si>
    <t>BEDCBE6B4259991028</t>
  </si>
  <si>
    <t>1251223022029C</t>
  </si>
  <si>
    <t xml:space="preserve">LUIS   CUELLAR  </t>
  </si>
  <si>
    <t>BANCO PROMERICA, S.A.|1-233105</t>
  </si>
  <si>
    <t>12512004191420220729</t>
  </si>
  <si>
    <t>DB395CC4639189098</t>
  </si>
  <si>
    <t>12512230220298</t>
  </si>
  <si>
    <t>12512005470320220729</t>
  </si>
  <si>
    <t>40A97FE43961733594</t>
  </si>
  <si>
    <t>Valor a Favor</t>
  </si>
  <si>
    <t>12512225220331</t>
  </si>
  <si>
    <t xml:space="preserve">GIOVANNI FRANCISCO  GALVEZ DEALTAN </t>
  </si>
  <si>
    <t>12512006063120220729</t>
  </si>
  <si>
    <t>FB2020952881046235</t>
  </si>
  <si>
    <t>Cheque</t>
  </si>
  <si>
    <t>125122102203BR</t>
  </si>
  <si>
    <t xml:space="preserve">DIRECCION GENERAL   DE ASUNTOS MARITIMOS  </t>
  </si>
  <si>
    <t>BANCO GYT CONTINENTAL, S.A.|066-0008237-0</t>
  </si>
  <si>
    <t>12512005472320220729</t>
  </si>
  <si>
    <t>161D22021298288178</t>
  </si>
  <si>
    <t>12512220220334</t>
  </si>
  <si>
    <t xml:space="preserve">C   F  </t>
  </si>
  <si>
    <t>BANCO INDUSTRIAL, S.A.|000-063</t>
  </si>
  <si>
    <t>12512005471620220729</t>
  </si>
  <si>
    <t>3250FEE92066368058</t>
  </si>
  <si>
    <t>125122102203BS</t>
  </si>
  <si>
    <t>GUSTAVO ADOLFO FRANCO</t>
  </si>
  <si>
    <t>12512006062820220729</t>
  </si>
  <si>
    <t>B44230DE2523743589</t>
  </si>
  <si>
    <t>125122102203BQ</t>
  </si>
  <si>
    <t xml:space="preserve">ALEJANDRO    GARCIA  </t>
  </si>
  <si>
    <t>Credomatic12Pagos</t>
  </si>
  <si>
    <t>0AED651F4258088459</t>
  </si>
  <si>
    <t>Transferencia Bancaria</t>
  </si>
  <si>
    <t>1251223122029Q</t>
  </si>
  <si>
    <t xml:space="preserve">REMBER HUGO  GONZALEZ HERNANDEZ </t>
  </si>
  <si>
    <t>BANCO INDUSTRIAL, S.A.|000-063091-3</t>
  </si>
  <si>
    <t>12512006063620220729</t>
  </si>
  <si>
    <t>C09D14EF2702198719</t>
  </si>
  <si>
    <t xml:space="preserve">MARIA   PINEDA  </t>
  </si>
  <si>
    <t>12512005471320220729</t>
  </si>
  <si>
    <t>577609281261453449</t>
  </si>
  <si>
    <t>Orden de compra</t>
  </si>
  <si>
    <t>REFAUTO</t>
  </si>
  <si>
    <t>12512005472020220729</t>
  </si>
  <si>
    <t>EAE81E101407993271</t>
  </si>
  <si>
    <t>125122412202K8</t>
  </si>
  <si>
    <t>DAMARIS GABRIELA BAUTISTA BARAHONA</t>
  </si>
  <si>
    <t>12512004190120220729</t>
  </si>
  <si>
    <t>EF1965344052043620</t>
  </si>
  <si>
    <t>1251223022029B</t>
  </si>
  <si>
    <t>12512004190620220729</t>
  </si>
  <si>
    <t>E1F712FB299782033</t>
  </si>
  <si>
    <t xml:space="preserve">LAURA   LOPEZ   </t>
  </si>
  <si>
    <t>12512004186920220729</t>
  </si>
  <si>
    <t>494D40371095912578</t>
  </si>
  <si>
    <t>(en blanco)</t>
  </si>
  <si>
    <t>Total Venta Cotización contado</t>
  </si>
  <si>
    <t>Total Ventas Contado</t>
  </si>
  <si>
    <t>Total 29/07/2022</t>
  </si>
  <si>
    <t>Total 50202</t>
  </si>
  <si>
    <t>Total CRC CENTRO PLAZUELA</t>
  </si>
  <si>
    <t>CIA</t>
  </si>
  <si>
    <t>INHOUSE DEP-TC</t>
  </si>
  <si>
    <t>INGRESOS CORTE DE CAJA</t>
  </si>
  <si>
    <t>CIERRE P.O.S.</t>
  </si>
  <si>
    <t>VENTAS TC INTERNET</t>
  </si>
  <si>
    <t>VISALINK</t>
  </si>
  <si>
    <t>TRASLADOS</t>
  </si>
  <si>
    <t>DIFERENCIA</t>
  </si>
  <si>
    <t>OBSERVACIÓN</t>
  </si>
  <si>
    <t>BLUESTART</t>
  </si>
  <si>
    <t>TARJETAS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</si>
</sst>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8"/>
      <color theme="1"/>
      <name val="Eras Medium ITC"/>
      <family val="2"/>
    </font>
  </fonts>
  <fills count="3">
    <fill>
      <patternFill patternType="none"/>
    </fill>
    <fill>
      <patternFill patternType="gray125"/>
    </fill>
    <fill>
      <patternFill patternType="solid">
        <fgColor rgb="FFCFE0F1"/>
      </patternFill>
    </fill>
  </fills>
  <borders count="2">
    <border>
      <left/>
      <right/>
      <top/>
      <bottom/>
      <diagonal/>
    </border>
    <border>
      <left style="thin">
        <color rgb="FF777777"/>
      </left>
      <right style="thin">
        <color rgb="FF777777"/>
      </right>
      <top/>
      <bottom style="thin">
        <color rgb="FF777777"/>
      </bottom>
      <diagonal/>
    </border>
  </borders>
  <cellStyleXfs count="1">
    <xf numFmtId="0" fontId="0" fillId="0" borderId="0"/>
  </cellStyleXfs>
  <cellXfs count="10">
    <xf numFmtId="0" fontId="0" fillId="0" borderId="0" xfId="0"/>
    <xf numFmtId="17" fontId="0" fillId="0" borderId="0" xfId="0" applyNumberFormat="1"/>
    <xf numFmtId="0" fontId="1" fillId="2" borderId="1" xfId="0" applyFont="1" applyFill="1" applyBorder="1" applyAlignment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3" fontId="0" fillId="0" borderId="0" xfId="0" applyNumberFormat="1"/>
    <xf numFmtId="0" fontId="0" fillId="0" borderId="0" xfId="0" quotePrefix="1"/>
    <xf numFmtId="14" fontId="0" fillId="0" borderId="0" xfId="0" applyNumberFormat="1"/>
  </cellXfs>
  <cellStyles count="1">
    <cellStyle name="Normal" xfId="0" builtinId="0"/>
  </cellStyles>
  <dxfs count="12">
    <dxf>
      <numFmt numFmtId="164" formatCode="m/d/yyyy"/>
    </dxf>
    <dxf>
      <border outline="0">
        <top style="thin">
          <color rgb="FF777777"/>
        </top>
      </border>
    </dxf>
    <dxf>
      <border outline="0">
        <bottom style="thin">
          <color rgb="FF777777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Eras Medium ITC"/>
        <family val="2"/>
        <scheme val="none"/>
      </font>
      <fill>
        <patternFill patternType="solid">
          <fgColor indexed="64"/>
          <bgColor rgb="FFCFE0F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777777"/>
        </left>
        <right style="thin">
          <color rgb="FF777777"/>
        </right>
        <top/>
        <bottom/>
      </border>
    </dxf>
    <dxf>
      <numFmt numFmtId="22" formatCode="mmm\-yy"/>
    </dxf>
    <dxf>
      <border outline="0">
        <top style="thin">
          <color rgb="FF777777"/>
        </top>
      </border>
    </dxf>
    <dxf>
      <border outline="0">
        <bottom style="thin">
          <color rgb="FF777777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Eras Medium ITC"/>
        <family val="2"/>
        <scheme val="none"/>
      </font>
      <fill>
        <patternFill patternType="solid">
          <fgColor indexed="64"/>
          <bgColor rgb="FFCFE0F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777777"/>
        </left>
        <right style="thin">
          <color rgb="FF777777"/>
        </right>
        <top/>
        <bottom/>
      </border>
    </dxf>
    <dxf>
      <numFmt numFmtId="22" formatCode="mmm\-yy"/>
    </dxf>
    <dxf>
      <border outline="0">
        <top style="thin">
          <color rgb="FF777777"/>
        </top>
      </border>
    </dxf>
    <dxf>
      <border outline="0">
        <bottom style="thin">
          <color rgb="FF777777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Eras Medium ITC"/>
        <family val="2"/>
        <scheme val="none"/>
      </font>
      <fill>
        <patternFill patternType="solid">
          <fgColor indexed="64"/>
          <bgColor rgb="FFCFE0F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777777"/>
        </left>
        <right style="thin">
          <color rgb="FF777777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pivotCacheDefinition" Target="pivotCache/pivotCacheDefinition3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ristian Adolfo Coronado Gomez" refreshedDate="44774.419977430553" createdVersion="3" refreshedVersion="8" minRefreshableVersion="3" recordCount="31" xr:uid="{494AD6C0-97CF-4BCB-93A7-8608A6D41F73}">
  <cacheSource type="worksheet">
    <worksheetSource name="Tabla1"/>
  </cacheSource>
  <cacheFields count="25">
    <cacheField name="NÚMERO TRANSACCION" numFmtId="0">
      <sharedItems containsSemiMixedTypes="0" containsString="0" containsNumber="1" containsInteger="1" minValue="1.2512004186620201E+19" maxValue="1.25120060628202E+19"/>
    </cacheField>
    <cacheField name="DESC CUENTA" numFmtId="0">
      <sharedItems/>
    </cacheField>
    <cacheField name="CENTRO ANALISIS" numFmtId="0">
      <sharedItems containsSemiMixedTypes="0" containsString="0" containsNumber="1" containsInteger="1" minValue="50202" maxValue="50202" count="1">
        <n v="50202"/>
      </sharedItems>
    </cacheField>
    <cacheField name="RI" numFmtId="0">
      <sharedItems containsSemiMixedTypes="0" containsString="0" containsNumber="1" containsInteger="1" minValue="512" maxValue="512"/>
    </cacheField>
    <cacheField name="NO CAJA" numFmtId="0">
      <sharedItems containsSemiMixedTypes="0" containsString="0" containsNumber="1" containsInteger="1" minValue="4" maxValue="6"/>
    </cacheField>
    <cacheField name="DESC ALMACEN" numFmtId="0">
      <sharedItems count="1">
        <s v="UNICOMER-PLAZA ESPA�A"/>
      </sharedItems>
    </cacheField>
    <cacheField name="REFERENCIA" numFmtId="0">
      <sharedItems containsSemiMixedTypes="0" containsString="0" containsNumber="1" containsInteger="1" minValue="8621" maxValue="882114"/>
    </cacheField>
    <cacheField name="PERIODO CONTABLE" numFmtId="17">
      <sharedItems containsSemiMixedTypes="0" containsNonDate="0" containsDate="1" containsString="0" minDate="2022-07-01T00:00:00" maxDate="2022-07-02T00:00:00"/>
    </cacheField>
    <cacheField name="FECHA AUTORIZACIÓN" numFmtId="0">
      <sharedItems count="1">
        <s v="29/07/2022"/>
      </sharedItems>
    </cacheField>
    <cacheField name="TIPO PROMOCIÓN" numFmtId="0">
      <sharedItems/>
    </cacheField>
    <cacheField name="MONEDA" numFmtId="0">
      <sharedItems/>
    </cacheField>
    <cacheField name="MONTO" numFmtId="0">
      <sharedItems containsSemiMixedTypes="0" containsString="0" containsNumber="1" minValue="20" maxValue="8636.15"/>
    </cacheField>
    <cacheField name="NUMERO CONFIRMADO" numFmtId="0">
      <sharedItems containsNonDate="0" containsString="0" containsBlank="1"/>
    </cacheField>
    <cacheField name="Monto Confirmado" numFmtId="0">
      <sharedItems containsNonDate="0" containsString="0" containsBlank="1"/>
    </cacheField>
    <cacheField name="Diferencia" numFmtId="0">
      <sharedItems containsNonDate="0" containsString="0" containsBlank="1"/>
    </cacheField>
    <cacheField name="TASA DE CAMBIO" numFmtId="0">
      <sharedItems containsSemiMixedTypes="0" containsString="0" containsNumber="1" containsInteger="1" minValue="1" maxValue="1"/>
    </cacheField>
    <cacheField name="MONTO MNL" numFmtId="0">
      <sharedItems containsSemiMixedTypes="0" containsString="0" containsNumber="1" minValue="20" maxValue="8636.15"/>
    </cacheField>
    <cacheField name="ESTADO" numFmtId="0">
      <sharedItems count="1">
        <s v="NOC"/>
      </sharedItems>
    </cacheField>
    <cacheField name="FECHA BANCO" numFmtId="0">
      <sharedItems containsNonDate="0" containsString="0" containsBlank="1"/>
    </cacheField>
    <cacheField name="NÚMERO DE DEPOSITO" numFmtId="0">
      <sharedItems containsNonDate="0" containsString="0" containsBlank="1"/>
    </cacheField>
    <cacheField name="NÚMERO CCF" numFmtId="0">
      <sharedItems containsNonDate="0" containsString="0" containsBlank="1"/>
    </cacheField>
    <cacheField name="FECHA CONFIRMACION" numFmtId="0">
      <sharedItems containsNonDate="0" containsString="0" containsBlank="1"/>
    </cacheField>
    <cacheField name="FECHA CONTABLE" numFmtId="0">
      <sharedItems containsNonDate="0" containsString="0" containsBlank="1"/>
    </cacheField>
    <cacheField name="EMPLEADO" numFmtId="0">
      <sharedItems/>
    </cacheField>
    <cacheField name="ACTUALIZADO POR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ristian Adolfo Coronado Gomez" refreshedDate="44774.420006828703" createdVersion="3" refreshedVersion="8" minRefreshableVersion="3" recordCount="8" xr:uid="{B3D0855D-6531-43F9-BE0F-C27B3C22A739}">
  <cacheSource type="worksheet">
    <worksheetSource name="Tabla2"/>
  </cacheSource>
  <cacheFields count="27">
    <cacheField name="Compañia" numFmtId="0">
      <sharedItems count="3">
        <s v="UNICOSERVI"/>
        <s v="UNICOMER"/>
        <s v="BLUESTART GUATEMALA, S.A."/>
      </sharedItems>
    </cacheField>
    <cacheField name="Período" numFmtId="17">
      <sharedItems containsSemiMixedTypes="0" containsNonDate="0" containsDate="1" containsString="0" minDate="2022-07-01T00:00:00" maxDate="2022-07-02T00:00:00"/>
    </cacheField>
    <cacheField name="Tipo" numFmtId="0">
      <sharedItems/>
    </cacheField>
    <cacheField name="Número Transacción" numFmtId="0">
      <sharedItems/>
    </cacheField>
    <cacheField name="Centro Analisis" numFmtId="0">
      <sharedItems containsSemiMixedTypes="0" containsString="0" containsNumber="1" containsInteger="1" minValue="50202" maxValue="50202" count="1">
        <n v="50202"/>
      </sharedItems>
    </cacheField>
    <cacheField name="Tienda" numFmtId="0">
      <sharedItems containsSemiMixedTypes="0" containsString="0" containsNumber="1" containsInteger="1" minValue="12512" maxValue="12512"/>
    </cacheField>
    <cacheField name="Desc Almacen" numFmtId="0">
      <sharedItems count="1">
        <s v="UNICOMER-PLAZA ESPA�A"/>
      </sharedItems>
    </cacheField>
    <cacheField name="Caja" numFmtId="0">
      <sharedItems containsSemiMixedTypes="0" containsString="0" containsNumber="1" containsInteger="1" minValue="4" maxValue="6"/>
    </cacheField>
    <cacheField name="Estado" numFmtId="0">
      <sharedItems/>
    </cacheField>
    <cacheField name="Fecha deposito" numFmtId="0">
      <sharedItems count="1">
        <s v="29/07/2022"/>
      </sharedItems>
    </cacheField>
    <cacheField name="Numero Deposito" numFmtId="0">
      <sharedItems containsSemiMixedTypes="0" containsString="0" containsNumber="1" containsInteger="1" minValue="224401" maxValue="85443450"/>
    </cacheField>
    <cacheField name="Numero Cuenta" numFmtId="0">
      <sharedItems/>
    </cacheField>
    <cacheField name="Desc Cuenta" numFmtId="0">
      <sharedItems/>
    </cacheField>
    <cacheField name="Moneda" numFmtId="0">
      <sharedItems/>
    </cacheField>
    <cacheField name="Monto" numFmtId="0">
      <sharedItems containsSemiMixedTypes="0" containsString="0" containsNumber="1" minValue="300" maxValue="5202.1499999999996"/>
    </cacheField>
    <cacheField name="Fecha Banco" numFmtId="0">
      <sharedItems containsBlank="1"/>
    </cacheField>
    <cacheField name="Número Déposito Confirmado" numFmtId="0">
      <sharedItems containsString="0" containsBlank="1" containsNumber="1" containsInteger="1" minValue="224401" maxValue="224401"/>
    </cacheField>
    <cacheField name="Número Cuenta Confirmada" numFmtId="0">
      <sharedItems containsBlank="1"/>
    </cacheField>
    <cacheField name="Monto Confirmado" numFmtId="0">
      <sharedItems containsSemiMixedTypes="0" containsString="0" containsNumber="1" minValue="300" maxValue="5202.1499999999996"/>
    </cacheField>
    <cacheField name="Diferencia" numFmtId="0">
      <sharedItems containsNonDate="0" containsString="0" containsBlank="1"/>
    </cacheField>
    <cacheField name="Tasa de Cambio" numFmtId="0">
      <sharedItems containsSemiMixedTypes="0" containsString="0" containsNumber="1" containsInteger="1" minValue="1" maxValue="1"/>
    </cacheField>
    <cacheField name="Monto MNL" numFmtId="0">
      <sharedItems containsSemiMixedTypes="0" containsString="0" containsNumber="1" minValue="300" maxValue="5202.1499999999996"/>
    </cacheField>
    <cacheField name="Motivo" numFmtId="0">
      <sharedItems containsBlank="1"/>
    </cacheField>
    <cacheField name="Fecha confirmacion" numFmtId="0">
      <sharedItems containsBlank="1"/>
    </cacheField>
    <cacheField name="Fecha Contabilización" numFmtId="0">
      <sharedItems containsNonDate="0" containsString="0" containsBlank="1"/>
    </cacheField>
    <cacheField name="Empleado" numFmtId="0">
      <sharedItems/>
    </cacheField>
    <cacheField name="Actualizado por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ristian Adolfo Coronado Gomez" refreshedDate="44774.420072106484" createdVersion="3" refreshedVersion="8" minRefreshableVersion="3" recordCount="31" xr:uid="{06B940DA-D322-4E62-A34F-9BE7DEC11021}">
  <cacheSource type="worksheet">
    <worksheetSource name="Tabla3"/>
  </cacheSource>
  <cacheFields count="22">
    <cacheField name="CADENA" numFmtId="0">
      <sharedItems/>
    </cacheField>
    <cacheField name="TIENDA" numFmtId="0">
      <sharedItems count="1">
        <s v="CRC CENTRO PLAZUELA"/>
      </sharedItems>
    </cacheField>
    <cacheField name="CDA" numFmtId="0">
      <sharedItems containsSemiMixedTypes="0" containsString="0" containsNumber="1" containsInteger="1" minValue="50202" maxValue="50202" count="1">
        <n v="50202"/>
      </sharedItems>
    </cacheField>
    <cacheField name="CAJA" numFmtId="0">
      <sharedItems containsSemiMixedTypes="0" containsString="0" containsNumber="1" containsInteger="1" minValue="4" maxValue="6"/>
    </cacheField>
    <cacheField name="FECHA TRANSACCION" numFmtId="14">
      <sharedItems containsSemiMixedTypes="0" containsNonDate="0" containsDate="1" containsString="0" minDate="2022-07-29T00:00:00" maxDate="2022-07-30T00:00:00" count="1">
        <d v="2022-07-29T00:00:00"/>
      </sharedItems>
    </cacheField>
    <cacheField name="CORRELATIVO CAJA" numFmtId="0">
      <sharedItems containsSemiMixedTypes="0" containsString="0" containsNumber="1" containsInteger="1" minValue="625" maxValue="4723"/>
    </cacheField>
    <cacheField name="No. TRANSACCION" numFmtId="0">
      <sharedItems/>
    </cacheField>
    <cacheField name="TRANSACCION ORIGINAL (Devolución)" numFmtId="0">
      <sharedItems containsNonDate="0" containsString="0" containsBlank="1"/>
    </cacheField>
    <cacheField name="TRANSACCIÓN CAJA ORIGINAL(Devolución)" numFmtId="0">
      <sharedItems containsNonDate="0" containsString="0" containsBlank="1"/>
    </cacheField>
    <cacheField name="No. DOCUMENTO" numFmtId="0">
      <sharedItems/>
    </cacheField>
    <cacheField name="NUMERO DE SOLICITUD" numFmtId="0">
      <sharedItems containsNonDate="0" containsString="0" containsBlank="1"/>
    </cacheField>
    <cacheField name="TIPO DOCUMENTO" numFmtId="0">
      <sharedItems/>
    </cacheField>
    <cacheField name="TRANSACCIONES CAJA" numFmtId="0">
      <sharedItems count="2">
        <s v="Ventas Contado"/>
        <s v="Venta Cotización contado"/>
      </sharedItems>
    </cacheField>
    <cacheField name="FORMA DE PAGO" numFmtId="0">
      <sharedItems count="7">
        <s v="Tarjeta de Credito"/>
        <s v="Efectivo"/>
        <s v="Puntos"/>
        <s v="Valor a Favor"/>
        <s v="Cheque"/>
        <s v="Transferencia Bancaria"/>
        <s v="Orden de compra"/>
      </sharedItems>
    </cacheField>
    <cacheField name="CODIGO DE RAZON" numFmtId="0">
      <sharedItems containsNonDate="0" containsString="0" containsBlank="1" count="1">
        <m/>
      </sharedItems>
    </cacheField>
    <cacheField name="MONTO" numFmtId="0">
      <sharedItems containsSemiMixedTypes="0" containsString="0" containsNumber="1" minValue="10" maxValue="8636.15"/>
    </cacheField>
    <cacheField name="NUM_COTIZACON" numFmtId="0">
      <sharedItems/>
    </cacheField>
    <cacheField name="NUM_CUENTA" numFmtId="0">
      <sharedItems/>
    </cacheField>
    <cacheField name="NOMBRE_CLIENTE" numFmtId="0">
      <sharedItems containsBlank="1"/>
    </cacheField>
    <cacheField name="BANCO" numFmtId="0">
      <sharedItems containsBlank="1"/>
    </cacheField>
    <cacheField name="AUTORIZACION" numFmtId="0">
      <sharedItems containsNonDate="0" containsString="0" containsBlank="1"/>
    </cacheField>
    <cacheField name="PROMOCION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">
  <r>
    <n v="1.2512004191320199E+19"/>
    <s v="Union Comercial de Guatemala, S.A. - Banco G&amp;T Continental, S.A."/>
    <x v="0"/>
    <n v="512"/>
    <n v="4"/>
    <x v="0"/>
    <n v="234174"/>
    <d v="2022-07-01T00:00:00"/>
    <x v="0"/>
    <s v="VISANET 6 PAGOS"/>
    <s v="GTQ"/>
    <n v="20"/>
    <m/>
    <m/>
    <m/>
    <n v="1"/>
    <n v="20"/>
    <x v="0"/>
    <m/>
    <m/>
    <m/>
    <m/>
    <m/>
    <s v="CLAUDIA ISELA SANTIZO SANCHEZ"/>
    <s v="system"/>
  </r>
  <r>
    <n v="1.25120060628202E+19"/>
    <s v="Union Comercial de Guatemala, S.A. - Banco de America Central, S.A."/>
    <x v="0"/>
    <n v="512"/>
    <n v="6"/>
    <x v="0"/>
    <n v="162035"/>
    <d v="2022-07-01T00:00:00"/>
    <x v="0"/>
    <s v="CREDOMATIC 12 PAGOS"/>
    <s v="GTQ"/>
    <n v="2864.95"/>
    <m/>
    <m/>
    <m/>
    <n v="1"/>
    <n v="2864.95"/>
    <x v="0"/>
    <m/>
    <m/>
    <m/>
    <m/>
    <m/>
    <s v="YUDI MARINE MENDEZ DEL CID"/>
    <s v="system"/>
  </r>
  <r>
    <n v="1.2512004189820201E+19"/>
    <s v="Union Comercial de Guatemala, S.A. - Banco G&amp;T Continental, S.A."/>
    <x v="0"/>
    <n v="512"/>
    <n v="4"/>
    <x v="0"/>
    <n v="882114"/>
    <d v="2022-07-01T00:00:00"/>
    <x v="0"/>
    <s v="VISANET 3 PAGOS"/>
    <s v="GTQ"/>
    <n v="997"/>
    <m/>
    <m/>
    <m/>
    <n v="1"/>
    <n v="997"/>
    <x v="0"/>
    <m/>
    <m/>
    <m/>
    <m/>
    <m/>
    <s v="CLAUDIA ISELA SANTIZO SANCHEZ"/>
    <s v="system"/>
  </r>
  <r>
    <n v="1.2512004191420201E+19"/>
    <s v="Union Comercial de Guatemala, S.A. - Banco G&amp;T Continental, S.A."/>
    <x v="0"/>
    <n v="512"/>
    <n v="4"/>
    <x v="0"/>
    <n v="8621"/>
    <d v="2022-07-01T00:00:00"/>
    <x v="0"/>
    <s v="VISANET 12 PAGOS"/>
    <s v="GTQ"/>
    <n v="1249"/>
    <m/>
    <m/>
    <m/>
    <n v="1"/>
    <n v="1249"/>
    <x v="0"/>
    <m/>
    <m/>
    <m/>
    <m/>
    <m/>
    <s v="CLAUDIA ISELA SANTIZO SANCHEZ"/>
    <s v="system"/>
  </r>
  <r>
    <n v="1.25120041893202E+19"/>
    <s v="Union Comercial de Guatemala, S.A. - Banco G&amp;T Continental, S.A."/>
    <x v="0"/>
    <n v="512"/>
    <n v="4"/>
    <x v="0"/>
    <n v="321049"/>
    <d v="2022-07-01T00:00:00"/>
    <x v="0"/>
    <s v="TARJETA"/>
    <s v="GTQ"/>
    <n v="423.18"/>
    <m/>
    <m/>
    <m/>
    <n v="1"/>
    <n v="423.18"/>
    <x v="0"/>
    <m/>
    <m/>
    <m/>
    <m/>
    <m/>
    <s v="CLAUDIA ISELA SANTIZO SANCHEZ"/>
    <s v="system"/>
  </r>
  <r>
    <n v="1.25120041877202E+19"/>
    <s v="Union Comercial de Guatemala, S.A. - Banco G&amp;T Continental, S.A."/>
    <x v="0"/>
    <n v="512"/>
    <n v="4"/>
    <x v="0"/>
    <n v="237221"/>
    <d v="2022-07-01T00:00:00"/>
    <x v="0"/>
    <s v="TARJETA"/>
    <s v="GTQ"/>
    <n v="550"/>
    <m/>
    <m/>
    <m/>
    <n v="1"/>
    <n v="550"/>
    <x v="0"/>
    <m/>
    <m/>
    <m/>
    <m/>
    <m/>
    <s v="CLAUDIA ISELA SANTIZO SANCHEZ"/>
    <s v="system"/>
  </r>
  <r>
    <n v="1.2512004187420201E+19"/>
    <s v="Union Comercial de Guatemala, S.A. - Banco G&amp;T Continental, S.A."/>
    <x v="0"/>
    <n v="512"/>
    <n v="4"/>
    <x v="0"/>
    <n v="799607"/>
    <d v="2022-07-01T00:00:00"/>
    <x v="0"/>
    <s v="TARJETA"/>
    <s v="GTQ"/>
    <n v="1202"/>
    <m/>
    <m/>
    <m/>
    <n v="1"/>
    <n v="1202"/>
    <x v="0"/>
    <m/>
    <m/>
    <m/>
    <m/>
    <m/>
    <s v="CLAUDIA ISELA SANTIZO SANCHEZ"/>
    <s v="system"/>
  </r>
  <r>
    <n v="1.2512004189020201E+19"/>
    <s v="Union Comercial de Guatemala, S.A. - Banco G&amp;T Continental, S.A."/>
    <x v="0"/>
    <n v="512"/>
    <n v="4"/>
    <x v="0"/>
    <n v="311135"/>
    <d v="2022-07-01T00:00:00"/>
    <x v="0"/>
    <s v="TARJETA"/>
    <s v="GTQ"/>
    <n v="2243.0500000000002"/>
    <m/>
    <m/>
    <m/>
    <n v="1"/>
    <n v="2243.0500000000002"/>
    <x v="0"/>
    <m/>
    <m/>
    <m/>
    <m/>
    <m/>
    <s v="CLAUDIA ISELA SANTIZO SANCHEZ"/>
    <s v="system"/>
  </r>
  <r>
    <n v="1.25120054709202E+19"/>
    <s v="Union Comercial de Guatemala, S.A. - Banco de America Central, S.A."/>
    <x v="0"/>
    <n v="512"/>
    <n v="5"/>
    <x v="0"/>
    <n v="181164"/>
    <d v="2022-07-01T00:00:00"/>
    <x v="0"/>
    <s v="TARJETA"/>
    <s v="GTQ"/>
    <n v="177"/>
    <m/>
    <m/>
    <m/>
    <n v="1"/>
    <n v="177"/>
    <x v="0"/>
    <m/>
    <m/>
    <m/>
    <m/>
    <m/>
    <s v="YESSICA MARLENY DE LEON AYALA"/>
    <s v="system"/>
  </r>
  <r>
    <n v="1.2512005472220201E+19"/>
    <s v="Union Comercial de Guatemala, S.A. - Banco G&amp;T Continental, S.A."/>
    <x v="0"/>
    <n v="512"/>
    <n v="5"/>
    <x v="0"/>
    <n v="187016"/>
    <d v="2022-07-01T00:00:00"/>
    <x v="0"/>
    <s v="TARJETA"/>
    <s v="GTQ"/>
    <n v="4049.99"/>
    <m/>
    <m/>
    <m/>
    <n v="1"/>
    <n v="4049.99"/>
    <x v="0"/>
    <m/>
    <m/>
    <m/>
    <m/>
    <m/>
    <s v="YESSICA MARLENY DE LEON AYALA"/>
    <s v="system"/>
  </r>
  <r>
    <n v="1.2512004191520201E+19"/>
    <s v="Union Comercial de Guatemala, S.A. - Banco G&amp;T Continental, S.A."/>
    <x v="0"/>
    <n v="512"/>
    <n v="4"/>
    <x v="0"/>
    <n v="8621"/>
    <d v="2022-07-01T00:00:00"/>
    <x v="0"/>
    <s v="VISANET 12 PAGOS"/>
    <s v="GTQ"/>
    <n v="20"/>
    <m/>
    <m/>
    <m/>
    <n v="1"/>
    <n v="20"/>
    <x v="0"/>
    <m/>
    <m/>
    <m/>
    <m/>
    <m/>
    <s v="CLAUDIA ISELA SANTIZO SANCHEZ"/>
    <s v="system"/>
  </r>
  <r>
    <n v="1.2512005471520201E+19"/>
    <s v="Union Comercial de Guatemala, S.A. - Banco G&amp;T Continental, S.A."/>
    <x v="0"/>
    <n v="512"/>
    <n v="5"/>
    <x v="0"/>
    <n v="241830"/>
    <d v="2022-07-01T00:00:00"/>
    <x v="0"/>
    <s v="TARJETA"/>
    <s v="GTQ"/>
    <n v="335"/>
    <m/>
    <m/>
    <m/>
    <n v="1"/>
    <n v="335"/>
    <x v="0"/>
    <m/>
    <m/>
    <m/>
    <m/>
    <m/>
    <s v="YESSICA MARLENY DE LEON AYALA"/>
    <s v="system"/>
  </r>
  <r>
    <n v="1.2512004188320201E+19"/>
    <s v="Union Comercial de Guatemala, S.A. - Banco G&amp;T Continental, S.A."/>
    <x v="0"/>
    <n v="512"/>
    <n v="4"/>
    <x v="0"/>
    <n v="520105"/>
    <d v="2022-07-01T00:00:00"/>
    <x v="0"/>
    <s v="TARJETA"/>
    <s v="GTQ"/>
    <n v="3799"/>
    <m/>
    <m/>
    <m/>
    <n v="1"/>
    <n v="3799"/>
    <x v="0"/>
    <m/>
    <m/>
    <m/>
    <m/>
    <m/>
    <s v="CLAUDIA ISELA SANTIZO SANCHEZ"/>
    <s v="system"/>
  </r>
  <r>
    <n v="1.25120041894202E+19"/>
    <s v="Union Comercial de Guatemala, S.A. - Banco G&amp;T Continental, S.A."/>
    <x v="0"/>
    <n v="512"/>
    <n v="4"/>
    <x v="0"/>
    <n v="839342"/>
    <d v="2022-07-01T00:00:00"/>
    <x v="0"/>
    <s v="TARJETA"/>
    <s v="GTQ"/>
    <n v="455.49"/>
    <m/>
    <m/>
    <m/>
    <n v="1"/>
    <n v="455.49"/>
    <x v="0"/>
    <m/>
    <m/>
    <m/>
    <m/>
    <m/>
    <s v="CLAUDIA ISELA SANTIZO SANCHEZ"/>
    <s v="system"/>
  </r>
  <r>
    <n v="1.25120041901202E+19"/>
    <s v="Union Comercial de Guatemala, S.A. - Banco G&amp;T Continental, S.A."/>
    <x v="0"/>
    <n v="512"/>
    <n v="4"/>
    <x v="0"/>
    <n v="504928"/>
    <d v="2022-07-01T00:00:00"/>
    <x v="0"/>
    <s v="VISANET 10 PAGOS"/>
    <s v="GTQ"/>
    <n v="777"/>
    <m/>
    <m/>
    <m/>
    <n v="1"/>
    <n v="777"/>
    <x v="0"/>
    <m/>
    <m/>
    <m/>
    <m/>
    <m/>
    <s v="CLAUDIA ISELA SANTIZO SANCHEZ"/>
    <s v="system"/>
  </r>
  <r>
    <n v="1.25120041911202E+19"/>
    <s v="Union Comercial de Guatemala, S.A. - Banco G&amp;T Continental, S.A."/>
    <x v="0"/>
    <n v="512"/>
    <n v="4"/>
    <x v="0"/>
    <n v="234174"/>
    <d v="2022-07-01T00:00:00"/>
    <x v="0"/>
    <s v="VISANET 6 PAGOS"/>
    <s v="GTQ"/>
    <n v="2997"/>
    <m/>
    <m/>
    <m/>
    <n v="1"/>
    <n v="2997"/>
    <x v="0"/>
    <m/>
    <m/>
    <m/>
    <m/>
    <m/>
    <s v="CLAUDIA ISELA SANTIZO SANCHEZ"/>
    <s v="system"/>
  </r>
  <r>
    <n v="1.2512004187320199E+19"/>
    <s v="Union Comercial de Guatemala, S.A. - Banco G&amp;T Continental, S.A."/>
    <x v="0"/>
    <n v="512"/>
    <n v="4"/>
    <x v="0"/>
    <n v="133642"/>
    <d v="2022-07-01T00:00:00"/>
    <x v="0"/>
    <s v="TARJETA"/>
    <s v="GTQ"/>
    <n v="284.79000000000002"/>
    <m/>
    <m/>
    <m/>
    <n v="1"/>
    <n v="284.79000000000002"/>
    <x v="0"/>
    <m/>
    <m/>
    <m/>
    <m/>
    <m/>
    <s v="CLAUDIA ISELA SANTIZO SANCHEZ"/>
    <s v="system"/>
  </r>
  <r>
    <n v="1.25120041870202E+19"/>
    <s v="Union Comercial de Guatemala, S.A. - Banco G&amp;T Continental, S.A."/>
    <x v="0"/>
    <n v="512"/>
    <n v="4"/>
    <x v="0"/>
    <n v="172201"/>
    <d v="2022-07-01T00:00:00"/>
    <x v="0"/>
    <s v="TARJETA"/>
    <s v="GTQ"/>
    <n v="1197"/>
    <m/>
    <m/>
    <m/>
    <n v="1"/>
    <n v="1197"/>
    <x v="0"/>
    <m/>
    <m/>
    <m/>
    <m/>
    <m/>
    <s v="CLAUDIA ISELA SANTIZO SANCHEZ"/>
    <s v="system"/>
  </r>
  <r>
    <n v="1.2512004188120199E+19"/>
    <s v="Union Comercial de Guatemala, S.A. - Banco G&amp;T Continental, S.A."/>
    <x v="0"/>
    <n v="512"/>
    <n v="4"/>
    <x v="0"/>
    <n v="186491"/>
    <d v="2022-07-01T00:00:00"/>
    <x v="0"/>
    <s v="TARJETA"/>
    <s v="GTQ"/>
    <n v="310.57"/>
    <m/>
    <m/>
    <m/>
    <n v="1"/>
    <n v="310.57"/>
    <x v="0"/>
    <m/>
    <m/>
    <m/>
    <m/>
    <m/>
    <s v="CLAUDIA ISELA SANTIZO SANCHEZ"/>
    <s v="system"/>
  </r>
  <r>
    <n v="1.2512005472320201E+19"/>
    <s v="Union Comercial de Guatemala, S.A. - Banco G&amp;T Continental, S.A."/>
    <x v="0"/>
    <n v="512"/>
    <n v="5"/>
    <x v="0"/>
    <n v="271632"/>
    <d v="2022-07-01T00:00:00"/>
    <x v="0"/>
    <s v="TARJETA"/>
    <s v="GTQ"/>
    <n v="337"/>
    <m/>
    <m/>
    <m/>
    <n v="1"/>
    <n v="337"/>
    <x v="0"/>
    <m/>
    <m/>
    <m/>
    <m/>
    <m/>
    <s v="YESSICA MARLENY DE LEON AYALA"/>
    <s v="system"/>
  </r>
  <r>
    <n v="1.2512005472020199E+19"/>
    <s v="Union Comercial de Guatemala, S.A. - Banco G&amp;T Continental, S.A."/>
    <x v="0"/>
    <n v="512"/>
    <n v="5"/>
    <x v="0"/>
    <n v="279891"/>
    <d v="2022-07-01T00:00:00"/>
    <x v="0"/>
    <s v="TARJETA"/>
    <s v="GTQ"/>
    <n v="1997"/>
    <m/>
    <m/>
    <m/>
    <n v="1"/>
    <n v="1997"/>
    <x v="0"/>
    <m/>
    <m/>
    <m/>
    <m/>
    <m/>
    <s v="YESSICA MARLENY DE LEON AYALA"/>
    <s v="system"/>
  </r>
  <r>
    <n v="1.2512004188920199E+19"/>
    <s v="Union Comercial de Guatemala, S.A. - Banco G&amp;T Continental, S.A."/>
    <x v="0"/>
    <n v="512"/>
    <n v="4"/>
    <x v="0"/>
    <n v="274604"/>
    <d v="2022-07-01T00:00:00"/>
    <x v="0"/>
    <s v="TARJETA"/>
    <s v="GTQ"/>
    <n v="1918.91"/>
    <m/>
    <m/>
    <m/>
    <n v="1"/>
    <n v="1918.91"/>
    <x v="0"/>
    <m/>
    <m/>
    <m/>
    <m/>
    <m/>
    <s v="CLAUDIA ISELA SANTIZO SANCHEZ"/>
    <s v="system"/>
  </r>
  <r>
    <n v="1.2512004189120201E+19"/>
    <s v="Union Comercial de Guatemala, S.A. - Banco G&amp;T Continental, S.A."/>
    <x v="0"/>
    <n v="512"/>
    <n v="4"/>
    <x v="0"/>
    <n v="175820"/>
    <d v="2022-07-01T00:00:00"/>
    <x v="0"/>
    <s v="VISANET 36 PAGO"/>
    <s v="GTQ"/>
    <n v="6995"/>
    <m/>
    <m/>
    <m/>
    <n v="1"/>
    <n v="6995"/>
    <x v="0"/>
    <m/>
    <m/>
    <m/>
    <m/>
    <m/>
    <s v="CLAUDIA ISELA SANTIZO SANCHEZ"/>
    <s v="system"/>
  </r>
  <r>
    <n v="1.2512004190620201E+19"/>
    <s v="Union Comercial de Guatemala, S.A. - Banco de America Central, S.A."/>
    <x v="0"/>
    <n v="512"/>
    <n v="4"/>
    <x v="0"/>
    <n v="242252"/>
    <d v="2022-07-01T00:00:00"/>
    <x v="0"/>
    <s v="TARJETA"/>
    <s v="GTQ"/>
    <n v="227"/>
    <m/>
    <m/>
    <m/>
    <n v="1"/>
    <n v="227"/>
    <x v="0"/>
    <m/>
    <m/>
    <m/>
    <m/>
    <m/>
    <s v="CLAUDIA ISELA SANTIZO SANCHEZ"/>
    <s v="system"/>
  </r>
  <r>
    <n v="1.25120054711202E+19"/>
    <s v="Union Comercial de Guatemala, S.A. - Banco de America Central, S.A."/>
    <x v="0"/>
    <n v="512"/>
    <n v="5"/>
    <x v="0"/>
    <n v="193803"/>
    <d v="2022-07-01T00:00:00"/>
    <x v="0"/>
    <s v="TARJETA"/>
    <s v="GTQ"/>
    <n v="1002"/>
    <m/>
    <m/>
    <m/>
    <n v="1"/>
    <n v="1002"/>
    <x v="0"/>
    <m/>
    <m/>
    <m/>
    <m/>
    <m/>
    <s v="YUDI MARINE MENDEZ DEL CID"/>
    <s v="system"/>
  </r>
  <r>
    <n v="1.2512005472120199E+19"/>
    <s v="Union Comercial de Guatemala, S.A. - Banco G&amp;T Continental, S.A."/>
    <x v="0"/>
    <n v="512"/>
    <n v="5"/>
    <x v="0"/>
    <n v="133134"/>
    <d v="2022-07-01T00:00:00"/>
    <x v="0"/>
    <s v="TARJETA"/>
    <s v="GTQ"/>
    <n v="8636.15"/>
    <m/>
    <m/>
    <m/>
    <n v="1"/>
    <n v="8636.15"/>
    <x v="0"/>
    <m/>
    <m/>
    <m/>
    <m/>
    <m/>
    <s v="YESSICA MARLENY DE LEON AYALA"/>
    <s v="system"/>
  </r>
  <r>
    <n v="1.2512005470420199E+19"/>
    <s v="Union Comercial de Guatemala, S.A. - Banco G&amp;T Continental, S.A."/>
    <x v="0"/>
    <n v="512"/>
    <n v="5"/>
    <x v="0"/>
    <n v="122992"/>
    <d v="2022-07-01T00:00:00"/>
    <x v="0"/>
    <s v="TARJETA"/>
    <s v="GTQ"/>
    <n v="940"/>
    <m/>
    <m/>
    <m/>
    <n v="1"/>
    <n v="940"/>
    <x v="0"/>
    <m/>
    <m/>
    <m/>
    <m/>
    <m/>
    <s v="YESSICA MARLENY DE LEON AYALA"/>
    <s v="system"/>
  </r>
  <r>
    <n v="1.2512004191220199E+19"/>
    <s v="Union Comercial de Guatemala, S.A. - Banco G&amp;T Continental, S.A."/>
    <x v="0"/>
    <n v="512"/>
    <n v="4"/>
    <x v="0"/>
    <n v="504928"/>
    <d v="2022-07-01T00:00:00"/>
    <x v="0"/>
    <s v="VISANET 10 PAGOS"/>
    <s v="GTQ"/>
    <n v="20"/>
    <m/>
    <m/>
    <m/>
    <n v="1"/>
    <n v="20"/>
    <x v="0"/>
    <m/>
    <m/>
    <m/>
    <m/>
    <m/>
    <s v="CLAUDIA ISELA SANTIZO SANCHEZ"/>
    <s v="system"/>
  </r>
  <r>
    <n v="1.2512004187220199E+19"/>
    <s v="Union Comercial de Guatemala, S.A. - Banco G&amp;T Continental, S.A."/>
    <x v="0"/>
    <n v="512"/>
    <n v="4"/>
    <x v="0"/>
    <n v="133648"/>
    <d v="2022-07-01T00:00:00"/>
    <x v="0"/>
    <s v="TARJETA"/>
    <s v="GTQ"/>
    <n v="248.82"/>
    <m/>
    <m/>
    <m/>
    <n v="1"/>
    <n v="248.82"/>
    <x v="0"/>
    <m/>
    <m/>
    <m/>
    <m/>
    <m/>
    <s v="CLAUDIA ISELA SANTIZO SANCHEZ"/>
    <s v="system"/>
  </r>
  <r>
    <n v="1.25120054716202E+19"/>
    <s v="Union Comercial de Guatemala, S.A. - Banco G&amp;T Continental, S.A."/>
    <x v="0"/>
    <n v="512"/>
    <n v="5"/>
    <x v="0"/>
    <n v="206109"/>
    <d v="2022-07-01T00:00:00"/>
    <x v="0"/>
    <s v="TARJETA"/>
    <s v="GTQ"/>
    <n v="77.650000000000006"/>
    <m/>
    <m/>
    <m/>
    <n v="1"/>
    <n v="77.650000000000006"/>
    <x v="0"/>
    <m/>
    <m/>
    <m/>
    <m/>
    <m/>
    <s v="YESSICA MARLENY DE LEON AYALA"/>
    <s v="system"/>
  </r>
  <r>
    <n v="1.2512004186620201E+19"/>
    <s v="Union Comercial de Guatemala, S.A. - Banco G&amp;T Continental, S.A."/>
    <x v="0"/>
    <n v="512"/>
    <n v="4"/>
    <x v="0"/>
    <n v="78729"/>
    <d v="2022-07-01T00:00:00"/>
    <x v="0"/>
    <s v="TARJETA"/>
    <s v="GTQ"/>
    <n v="1642.3"/>
    <m/>
    <m/>
    <m/>
    <n v="1"/>
    <n v="1642.3"/>
    <x v="0"/>
    <m/>
    <m/>
    <m/>
    <m/>
    <m/>
    <s v="CLAUDIA ISELA SANTIZO SANCHEZ"/>
    <s v="system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">
  <r>
    <x v="0"/>
    <d v="2022-07-01T00:00:00"/>
    <s v="CSH"/>
    <s v="12512000126120220729"/>
    <x v="0"/>
    <n v="12512"/>
    <x v="0"/>
    <n v="5"/>
    <s v="NOC"/>
    <x v="0"/>
    <n v="85443119"/>
    <s v="000-000908-4"/>
    <s v="Banco Industrial, S.A."/>
    <s v="GTQ"/>
    <n v="2182"/>
    <m/>
    <m/>
    <m/>
    <n v="2182"/>
    <m/>
    <n v="1"/>
    <n v="2182"/>
    <m/>
    <m/>
    <m/>
    <s v="YESSICA MARLENY DE LEON AYALA"/>
    <m/>
  </r>
  <r>
    <x v="0"/>
    <d v="2022-07-01T00:00:00"/>
    <s v="CSH"/>
    <s v="12512000126220220729"/>
    <x v="0"/>
    <n v="12512"/>
    <x v="0"/>
    <n v="4"/>
    <s v="NOC"/>
    <x v="0"/>
    <n v="85443450"/>
    <s v="000-000908-4"/>
    <s v="Banco Industrial, S.A."/>
    <s v="GTQ"/>
    <n v="5202.1499999999996"/>
    <m/>
    <m/>
    <m/>
    <n v="5202.1499999999996"/>
    <m/>
    <n v="1"/>
    <n v="5202.1499999999996"/>
    <m/>
    <m/>
    <m/>
    <s v="CLAUDIA ISELA SANTIZO SANCHEZ"/>
    <m/>
  </r>
  <r>
    <x v="0"/>
    <d v="2022-07-01T00:00:00"/>
    <s v="CSH"/>
    <s v="12512000126020220729"/>
    <x v="0"/>
    <n v="12512"/>
    <x v="0"/>
    <n v="6"/>
    <s v="NOC"/>
    <x v="0"/>
    <n v="85443132"/>
    <s v="000-000908-4"/>
    <s v="Banco Industrial, S.A."/>
    <s v="GTQ"/>
    <n v="2468.79"/>
    <m/>
    <m/>
    <m/>
    <n v="2468.79"/>
    <m/>
    <n v="1"/>
    <n v="2468.79"/>
    <m/>
    <m/>
    <m/>
    <s v="YUDI MARINE MENDEZ DEL CID"/>
    <m/>
  </r>
  <r>
    <x v="1"/>
    <d v="2022-07-01T00:00:00"/>
    <s v="CSH"/>
    <s v="12512006064420220729"/>
    <x v="0"/>
    <n v="12512"/>
    <x v="0"/>
    <n v="6"/>
    <s v="CON"/>
    <x v="0"/>
    <n v="224401"/>
    <s v="000-063091-3"/>
    <s v="Banco Industrial, S.A."/>
    <s v="GTQ"/>
    <n v="1587"/>
    <s v="29/07/2022"/>
    <n v="224401"/>
    <s v="000-063091-3"/>
    <n v="1587"/>
    <m/>
    <n v="1"/>
    <n v="1587"/>
    <s v="Confirmación Automática"/>
    <s v="31/07/2022"/>
    <m/>
    <s v="YUDI MARINE MENDEZ DEL CID"/>
    <s v="JUAN MANUEL MENDEZ PAZ"/>
  </r>
  <r>
    <x v="1"/>
    <d v="2022-07-01T00:00:00"/>
    <s v="CSH"/>
    <s v="12512000126020220729"/>
    <x v="0"/>
    <n v="12512"/>
    <x v="0"/>
    <n v="6"/>
    <s v="NOC"/>
    <x v="0"/>
    <n v="85443146"/>
    <s v="000-063091-3"/>
    <s v="Banco Industrial, S.A."/>
    <s v="GTQ"/>
    <n v="2667"/>
    <m/>
    <m/>
    <m/>
    <n v="2667"/>
    <m/>
    <n v="1"/>
    <n v="2667"/>
    <m/>
    <m/>
    <m/>
    <s v="YUDI MARINE MENDEZ DEL CID"/>
    <m/>
  </r>
  <r>
    <x v="1"/>
    <d v="2022-07-01T00:00:00"/>
    <s v="CSH"/>
    <s v="12512000126020220729"/>
    <x v="0"/>
    <n v="12512"/>
    <x v="0"/>
    <n v="6"/>
    <s v="NOC"/>
    <x v="0"/>
    <n v="85443131"/>
    <s v="000-063091-3"/>
    <s v="Banco Industrial, S.A."/>
    <s v="GTQ"/>
    <n v="2924.21"/>
    <m/>
    <m/>
    <m/>
    <n v="2924.21"/>
    <m/>
    <n v="1"/>
    <n v="2924.21"/>
    <m/>
    <m/>
    <m/>
    <s v="YUDI MARINE MENDEZ DEL CID"/>
    <m/>
  </r>
  <r>
    <x v="2"/>
    <d v="2022-07-01T00:00:00"/>
    <s v="CSH"/>
    <s v="12512000126120220729"/>
    <x v="0"/>
    <n v="12512"/>
    <x v="0"/>
    <n v="5"/>
    <s v="NRGL"/>
    <x v="0"/>
    <n v="9094361"/>
    <s v="066-0030603-2"/>
    <s v="Banco G&amp;T C"/>
    <s v="GTQ"/>
    <n v="450"/>
    <m/>
    <m/>
    <m/>
    <n v="450"/>
    <m/>
    <n v="1"/>
    <n v="450"/>
    <m/>
    <m/>
    <m/>
    <s v="YESSICA MARLENY DE LEON AYALA"/>
    <m/>
  </r>
  <r>
    <x v="2"/>
    <d v="2022-07-01T00:00:00"/>
    <s v="CSH"/>
    <s v="12512000126020220729"/>
    <x v="0"/>
    <n v="12512"/>
    <x v="0"/>
    <n v="6"/>
    <s v="NRGL"/>
    <x v="0"/>
    <n v="9094353"/>
    <s v="066-0030603-2"/>
    <s v="Banco G&amp;T C"/>
    <s v="GTQ"/>
    <n v="300"/>
    <m/>
    <m/>
    <m/>
    <n v="300"/>
    <m/>
    <n v="1"/>
    <n v="300"/>
    <m/>
    <m/>
    <m/>
    <s v="YUDI MARINE MENDEZ DEL CID"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">
  <r>
    <s v="LA CURACAO"/>
    <x v="0"/>
    <x v="0"/>
    <n v="4"/>
    <x v="0"/>
    <n v="1912"/>
    <s v="12512004191220220729"/>
    <m/>
    <m/>
    <s v="94D1BE6B1424704599"/>
    <m/>
    <s v="Factura Consumidor Final"/>
    <x v="0"/>
    <x v="0"/>
    <x v="0"/>
    <n v="20"/>
    <s v=""/>
    <s v=""/>
    <s v="SERGIO   MORATAYA  "/>
    <s v="OTROS BANCOS"/>
    <m/>
    <s v="Visanet10Pagos"/>
  </r>
  <r>
    <s v="LA CURACAO"/>
    <x v="0"/>
    <x v="0"/>
    <n v="5"/>
    <x v="0"/>
    <n v="4721"/>
    <s v="12512005472120220729"/>
    <m/>
    <m/>
    <s v="8896F6EF3267905826"/>
    <m/>
    <s v="Factura Consumidor Final"/>
    <x v="1"/>
    <x v="0"/>
    <x v="0"/>
    <n v="8636.15"/>
    <s v="125122102203BT"/>
    <s v=""/>
    <s v="MIGUEL   RIVERO  "/>
    <s v="OTROS BANCOS"/>
    <m/>
    <s v="Card"/>
  </r>
  <r>
    <s v="LA CURACAO"/>
    <x v="0"/>
    <x v="0"/>
    <n v="4"/>
    <x v="0"/>
    <n v="1887"/>
    <s v="12512004188720220729"/>
    <m/>
    <m/>
    <s v="1FE5F3761022708831"/>
    <m/>
    <s v="Factura Consumidor Final"/>
    <x v="0"/>
    <x v="1"/>
    <x v="0"/>
    <n v="95.2"/>
    <s v=""/>
    <s v=""/>
    <m/>
    <m/>
    <m/>
    <m/>
  </r>
  <r>
    <s v="LA CURACAO"/>
    <x v="0"/>
    <x v="0"/>
    <n v="6"/>
    <x v="0"/>
    <n v="643"/>
    <s v="12512006064320220729"/>
    <m/>
    <m/>
    <s v="EA3083F6781536354"/>
    <m/>
    <s v="Factura Consumidor Final"/>
    <x v="1"/>
    <x v="1"/>
    <x v="0"/>
    <n v="1977"/>
    <s v="1251222022032V"/>
    <s v=""/>
    <s v="MAGDALENA    DONIS DELGADO "/>
    <m/>
    <m/>
    <m/>
  </r>
  <r>
    <s v="LA CURACAO"/>
    <x v="0"/>
    <x v="0"/>
    <n v="4"/>
    <x v="0"/>
    <n v="1898"/>
    <s v="12512004189820220729"/>
    <m/>
    <m/>
    <s v="22E021BA307513762"/>
    <m/>
    <s v="Factura Consumidor Final"/>
    <x v="1"/>
    <x v="0"/>
    <x v="0"/>
    <n v="997"/>
    <s v="125122462202QN"/>
    <s v=""/>
    <s v="GUARITO    EXPRESS S.A  "/>
    <s v="BANCO DE DESARROLLO RURAL, S.A"/>
    <m/>
    <s v="Visanet3Pagos"/>
  </r>
  <r>
    <s v="LA CURACAO"/>
    <x v="0"/>
    <x v="0"/>
    <n v="4"/>
    <x v="0"/>
    <n v="1913"/>
    <s v="12512004191320220729"/>
    <m/>
    <m/>
    <s v="AE41AD3B3337898901"/>
    <m/>
    <s v="Factura Consumidor Final"/>
    <x v="0"/>
    <x v="0"/>
    <x v="0"/>
    <n v="20"/>
    <s v=""/>
    <s v=""/>
    <s v="JORGE    GUZMAN  "/>
    <s v="OTROS BANCOS"/>
    <m/>
    <s v="Visanet6Pagos"/>
  </r>
  <r>
    <s v="LA CURACAO"/>
    <x v="0"/>
    <x v="0"/>
    <n v="4"/>
    <x v="0"/>
    <n v="1915"/>
    <s v="12512004191520220729"/>
    <m/>
    <m/>
    <s v="14E22B6D3899281066"/>
    <m/>
    <s v="Factura Consumidor Final"/>
    <x v="0"/>
    <x v="0"/>
    <x v="0"/>
    <n v="20"/>
    <s v=""/>
    <s v=""/>
    <s v="LESLIEY  JOHANA   BELTRAN  "/>
    <s v="OTROS BANCOS"/>
    <m/>
    <s v="Visanet12Pagos"/>
  </r>
  <r>
    <s v="LA CURACAO"/>
    <x v="0"/>
    <x v="0"/>
    <n v="4"/>
    <x v="0"/>
    <n v="1870"/>
    <s v="12512004187020220729"/>
    <m/>
    <m/>
    <s v="E4BCADFC3228519894"/>
    <m/>
    <s v="Factura Consumidor Final"/>
    <x v="1"/>
    <x v="0"/>
    <x v="0"/>
    <n v="1197"/>
    <s v="1251223922026N"/>
    <s v=""/>
    <s v="BORIS   CERMEÑO  "/>
    <s v="BANCO ANTIGUA, S.A."/>
    <m/>
    <s v="Card"/>
  </r>
  <r>
    <s v="LA CURACAO"/>
    <x v="0"/>
    <x v="0"/>
    <n v="4"/>
    <x v="0"/>
    <n v="1911"/>
    <s v="12512004191120220729"/>
    <m/>
    <m/>
    <s v="9DC16EA72762688998"/>
    <m/>
    <s v="Factura Consumidor Final"/>
    <x v="1"/>
    <x v="0"/>
    <x v="0"/>
    <n v="2997"/>
    <s v="12512230220297"/>
    <s v=""/>
    <s v="JORGE    GUZMAN  "/>
    <s v="OTROS BANCOS"/>
    <m/>
    <s v="Visanet6Pagos"/>
  </r>
  <r>
    <s v="LA CURACAO"/>
    <x v="0"/>
    <x v="0"/>
    <n v="5"/>
    <x v="0"/>
    <n v="4709"/>
    <s v="12512005470920220729"/>
    <m/>
    <m/>
    <s v="3DF706C82069778375"/>
    <m/>
    <s v="Factura Consumidor Final"/>
    <x v="1"/>
    <x v="1"/>
    <x v="0"/>
    <n v="5597"/>
    <s v="12512230220293"/>
    <s v=""/>
    <s v="SAMUEL JOSUE VICTORIO CUNCHICH"/>
    <m/>
    <m/>
    <m/>
  </r>
  <r>
    <s v="LA CURACAO"/>
    <x v="0"/>
    <x v="0"/>
    <n v="5"/>
    <x v="0"/>
    <n v="4721"/>
    <s v="12512005472120220729"/>
    <m/>
    <m/>
    <s v="8896F6EF3267905826"/>
    <m/>
    <s v="Factura Consumidor Final"/>
    <x v="1"/>
    <x v="2"/>
    <x v="0"/>
    <n v="2887"/>
    <s v="125122102203BT"/>
    <s v=""/>
    <s v="MIGUEL   RIVERO  "/>
    <m/>
    <m/>
    <m/>
  </r>
  <r>
    <s v="LA CURACAO"/>
    <x v="0"/>
    <x v="0"/>
    <n v="4"/>
    <x v="0"/>
    <n v="1902"/>
    <s v="12512004190220220729"/>
    <m/>
    <m/>
    <s v="EC682F772888123985"/>
    <m/>
    <s v="Factura Consumidor Final"/>
    <x v="0"/>
    <x v="1"/>
    <x v="0"/>
    <n v="10"/>
    <s v=""/>
    <s v=""/>
    <m/>
    <m/>
    <m/>
    <m/>
  </r>
  <r>
    <s v="LA CURACAO"/>
    <x v="0"/>
    <x v="0"/>
    <n v="4"/>
    <x v="0"/>
    <n v="1891"/>
    <s v="12512004189120220729"/>
    <m/>
    <m/>
    <s v="98CD91EC3395633362"/>
    <m/>
    <s v="Factura Consumidor Final"/>
    <x v="1"/>
    <x v="0"/>
    <x v="0"/>
    <n v="6995"/>
    <s v="12512220220333"/>
    <s v=""/>
    <s v="DANILO DE JESUS ARGUETA MORALES"/>
    <s v="OTROS BANCOS"/>
    <m/>
    <s v="Visanet36Pago"/>
  </r>
  <r>
    <s v="LA CURACAO"/>
    <x v="0"/>
    <x v="0"/>
    <n v="5"/>
    <x v="0"/>
    <n v="4711"/>
    <s v="12512005471120220729"/>
    <m/>
    <m/>
    <s v="A2E5C951829769970"/>
    <m/>
    <s v="Factura Consumidor Final"/>
    <x v="0"/>
    <x v="0"/>
    <x v="0"/>
    <n v="1002"/>
    <s v=""/>
    <s v=""/>
    <s v="ASOCIACION DE VECINOS DEL  PEÑON"/>
    <s v="BANCO DE AMÉRICA CENTRAL, S.A"/>
    <m/>
    <s v="Card"/>
  </r>
  <r>
    <s v="LA CURACAO"/>
    <x v="0"/>
    <x v="0"/>
    <n v="6"/>
    <x v="0"/>
    <n v="625"/>
    <s v="12512006062520220729"/>
    <m/>
    <m/>
    <s v="C70E53431547128644"/>
    <m/>
    <s v="Factura Consumidor Final"/>
    <x v="1"/>
    <x v="1"/>
    <x v="0"/>
    <n v="479"/>
    <s v="12512218220302"/>
    <s v=""/>
    <s v="LUCRECIA ANABELLA GONZALEZ ALVAREZ"/>
    <m/>
    <m/>
    <m/>
  </r>
  <r>
    <s v="LA CURACAO"/>
    <x v="0"/>
    <x v="0"/>
    <n v="4"/>
    <x v="0"/>
    <n v="1883"/>
    <s v="12512004188320220729"/>
    <m/>
    <m/>
    <s v="BEDCBE6B4259991028"/>
    <m/>
    <s v="Factura Consumidor Final"/>
    <x v="1"/>
    <x v="0"/>
    <x v="0"/>
    <n v="3799"/>
    <s v="1251223022029C"/>
    <s v=""/>
    <s v="LUIS   CUELLAR  "/>
    <s v="BANCO PROMERICA, S.A.|1-233105"/>
    <m/>
    <s v="Card"/>
  </r>
  <r>
    <s v="LA CURACAO"/>
    <x v="0"/>
    <x v="0"/>
    <n v="4"/>
    <x v="0"/>
    <n v="1914"/>
    <s v="12512004191420220729"/>
    <m/>
    <m/>
    <s v="DB395CC4639189098"/>
    <m/>
    <s v="Factura Consumidor Final"/>
    <x v="1"/>
    <x v="0"/>
    <x v="0"/>
    <n v="1249"/>
    <s v="12512230220298"/>
    <s v=""/>
    <s v="LESLIEY  JOHANA   BELTRAN  "/>
    <s v="OTROS BANCOS"/>
    <m/>
    <s v="Visanet12Pagos"/>
  </r>
  <r>
    <s v="LA CURACAO"/>
    <x v="0"/>
    <x v="0"/>
    <n v="5"/>
    <x v="0"/>
    <n v="4703"/>
    <s v="12512005470320220729"/>
    <m/>
    <m/>
    <s v="40A97FE43961733594"/>
    <m/>
    <s v="Factura Consumidor Final"/>
    <x v="1"/>
    <x v="3"/>
    <x v="0"/>
    <n v="999"/>
    <s v="12512225220331"/>
    <s v=""/>
    <s v="GIOVANNI FRANCISCO  GALVEZ DEALTAN "/>
    <m/>
    <m/>
    <m/>
  </r>
  <r>
    <s v="LA CURACAO"/>
    <x v="0"/>
    <x v="0"/>
    <n v="6"/>
    <x v="0"/>
    <n v="631"/>
    <s v="12512006063120220729"/>
    <m/>
    <m/>
    <s v="FB2020952881046235"/>
    <m/>
    <s v="Factura Consumidor Final"/>
    <x v="1"/>
    <x v="4"/>
    <x v="0"/>
    <n v="2667"/>
    <s v="125122102203BR"/>
    <s v=""/>
    <s v="DIRECCION GENERAL   DE ASUNTOS MARITIMOS  "/>
    <s v="BANCO GYT CONTINENTAL, S.A.|066-0008237-0"/>
    <m/>
    <m/>
  </r>
  <r>
    <s v="LA CURACAO"/>
    <x v="0"/>
    <x v="0"/>
    <n v="5"/>
    <x v="0"/>
    <n v="4723"/>
    <s v="12512005472320220729"/>
    <m/>
    <m/>
    <s v="161D22021298288178"/>
    <m/>
    <s v="Factura Consumidor Final"/>
    <x v="1"/>
    <x v="0"/>
    <x v="0"/>
    <n v="337"/>
    <s v="12512220220334"/>
    <s v=""/>
    <s v="C   F  "/>
    <s v="BANCO INDUSTRIAL, S.A.|000-063"/>
    <m/>
    <s v="Card"/>
  </r>
  <r>
    <s v="LA CURACAO"/>
    <x v="0"/>
    <x v="0"/>
    <n v="5"/>
    <x v="0"/>
    <n v="4716"/>
    <s v="12512005471620220729"/>
    <m/>
    <m/>
    <s v="3250FEE92066368058"/>
    <m/>
    <s v="Factura Consumidor Final"/>
    <x v="1"/>
    <x v="1"/>
    <x v="0"/>
    <n v="7832.35"/>
    <s v="125122102203BS"/>
    <s v=""/>
    <s v="GUSTAVO ADOLFO FRANCO"/>
    <m/>
    <m/>
    <m/>
  </r>
  <r>
    <s v="LA CURACAO"/>
    <x v="0"/>
    <x v="0"/>
    <n v="6"/>
    <x v="0"/>
    <n v="628"/>
    <s v="12512006062820220729"/>
    <m/>
    <m/>
    <s v="B44230DE2523743589"/>
    <m/>
    <s v="Factura Consumidor Final"/>
    <x v="1"/>
    <x v="0"/>
    <x v="0"/>
    <n v="2864.95"/>
    <s v="125122102203BQ"/>
    <s v=""/>
    <s v="ALEJANDRO    GARCIA  "/>
    <s v="BANCO DE AMÉRICA CENTRAL, S.A"/>
    <m/>
    <s v="Credomatic12Pagos"/>
  </r>
  <r>
    <s v="LA CURACAO"/>
    <x v="0"/>
    <x v="0"/>
    <n v="5"/>
    <x v="0"/>
    <n v="4716"/>
    <s v="12512005471620220729"/>
    <m/>
    <m/>
    <s v="3250FEE92066368058"/>
    <m/>
    <s v="Factura Consumidor Final"/>
    <x v="1"/>
    <x v="0"/>
    <x v="0"/>
    <n v="77.650000000000006"/>
    <s v="125122102203BS"/>
    <s v=""/>
    <s v="GUSTAVO ADOLFO FRANCO"/>
    <s v="BANCO INDUSTRIAL, S.A.|000-063"/>
    <m/>
    <s v="Card"/>
  </r>
  <r>
    <s v="LA CURACAO"/>
    <x v="0"/>
    <x v="0"/>
    <n v="6"/>
    <x v="0"/>
    <n v="644"/>
    <s v="12512006064420220729"/>
    <m/>
    <m/>
    <s v="0AED651F4258088459"/>
    <m/>
    <s v="Factura Consumidor Final"/>
    <x v="1"/>
    <x v="5"/>
    <x v="0"/>
    <n v="1587"/>
    <s v="1251223122029Q"/>
    <s v=""/>
    <s v="REMBER HUGO  GONZALEZ HERNANDEZ "/>
    <s v="BANCO INDUSTRIAL, S.A.|000-063091-3"/>
    <m/>
    <m/>
  </r>
  <r>
    <s v="LA CURACAO"/>
    <x v="0"/>
    <x v="0"/>
    <n v="6"/>
    <x v="0"/>
    <n v="636"/>
    <s v="12512006063620220729"/>
    <m/>
    <m/>
    <s v="C09D14EF2702198719"/>
    <m/>
    <s v="Factura Consumidor Final"/>
    <x v="0"/>
    <x v="1"/>
    <x v="0"/>
    <n v="207"/>
    <s v=""/>
    <s v=""/>
    <s v="MARIA   PINEDA  "/>
    <m/>
    <m/>
    <m/>
  </r>
  <r>
    <s v="LA CURACAO"/>
    <x v="0"/>
    <x v="0"/>
    <n v="5"/>
    <x v="0"/>
    <n v="4709"/>
    <s v="12512005470920220729"/>
    <m/>
    <m/>
    <s v="3DF706C82069778375"/>
    <m/>
    <s v="Factura Consumidor Final"/>
    <x v="1"/>
    <x v="0"/>
    <x v="0"/>
    <n v="177"/>
    <s v="12512230220293"/>
    <s v=""/>
    <s v="SAMUEL JOSUE VICTORIO CUNCHICH"/>
    <s v="BANCO DE AMÉRICA CENTRAL, S.A"/>
    <m/>
    <s v="Card"/>
  </r>
  <r>
    <s v="LA CURACAO"/>
    <x v="0"/>
    <x v="0"/>
    <n v="5"/>
    <x v="0"/>
    <n v="4713"/>
    <s v="12512005471320220729"/>
    <m/>
    <m/>
    <s v="577609281261453449"/>
    <m/>
    <s v="Factura Consumidor Final"/>
    <x v="0"/>
    <x v="6"/>
    <x v="0"/>
    <n v="298"/>
    <s v=""/>
    <s v=""/>
    <s v="REFAUTO"/>
    <m/>
    <m/>
    <m/>
  </r>
  <r>
    <s v="LA CURACAO"/>
    <x v="0"/>
    <x v="0"/>
    <n v="5"/>
    <x v="0"/>
    <n v="4720"/>
    <s v="12512005472020220729"/>
    <m/>
    <m/>
    <s v="EAE81E101407993271"/>
    <m/>
    <s v="Factura Consumidor Final"/>
    <x v="1"/>
    <x v="0"/>
    <x v="0"/>
    <n v="1997"/>
    <s v="125122412202K8"/>
    <s v=""/>
    <s v="DAMARIS GABRIELA BAUTISTA BARAHONA"/>
    <s v="BANCO INDUSTRIAL, S.A.|000-063"/>
    <m/>
    <s v="Card"/>
  </r>
  <r>
    <s v="LA CURACAO"/>
    <x v="0"/>
    <x v="0"/>
    <n v="4"/>
    <x v="0"/>
    <n v="1901"/>
    <s v="12512004190120220729"/>
    <m/>
    <m/>
    <s v="EF1965344052043620"/>
    <m/>
    <s v="Factura Consumidor Final"/>
    <x v="1"/>
    <x v="0"/>
    <x v="0"/>
    <n v="777"/>
    <s v="1251223022029B"/>
    <s v=""/>
    <s v="SERGIO   MORATAYA  "/>
    <s v="OTROS BANCOS"/>
    <m/>
    <s v="Visanet10Pagos"/>
  </r>
  <r>
    <s v="LA CURACAO"/>
    <x v="0"/>
    <x v="0"/>
    <n v="4"/>
    <x v="0"/>
    <n v="1906"/>
    <s v="12512004190620220729"/>
    <m/>
    <m/>
    <s v="E1F712FB299782033"/>
    <m/>
    <s v="Factura Consumidor Final"/>
    <x v="0"/>
    <x v="0"/>
    <x v="0"/>
    <n v="227"/>
    <s v=""/>
    <s v=""/>
    <s v="LAURA   LOPEZ   "/>
    <s v="BANCO DE AMÉRICA CENTRAL, S.A"/>
    <m/>
    <s v="Card"/>
  </r>
  <r>
    <s v="LA CURACAO"/>
    <x v="0"/>
    <x v="0"/>
    <n v="4"/>
    <x v="0"/>
    <n v="1869"/>
    <s v="12512004186920220729"/>
    <m/>
    <m/>
    <s v="494D40371095912578"/>
    <m/>
    <s v="Factura Consumidor Final"/>
    <x v="0"/>
    <x v="1"/>
    <x v="0"/>
    <n v="150"/>
    <s v=""/>
    <s v="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5282489-2D0E-4D7B-89F3-FAFBFDF8C57F}" name="Tbl Dinamica Tarjetas" cacheId="49" applyNumberFormats="0" applyBorderFormats="0" applyFontFormats="0" applyPatternFormats="0" applyAlignmentFormats="0" applyWidthHeightFormats="1" dataCaption="Valores" updatedVersion="8" minRefreshableVersion="3" showCalcMbrs="0" useAutoFormatting="1" itemPrintTitles="1" createdVersion="3" indent="0" outline="1" outlineData="1" multipleFieldFilters="0">
  <location ref="A3:C8" firstHeaderRow="1" firstDataRow="2" firstDataCol="1"/>
  <pivotFields count="25">
    <pivotField showAll="0"/>
    <pivotField showAll="0"/>
    <pivotField axis="axisRow" showAll="0">
      <items count="2">
        <item x="0"/>
        <item t="default"/>
      </items>
    </pivotField>
    <pivotField showAll="0"/>
    <pivotField showAll="0"/>
    <pivotField axis="axisRow" showAll="0">
      <items count="2">
        <item x="0"/>
        <item t="default"/>
      </items>
    </pivotField>
    <pivotField showAll="0"/>
    <pivotField numFmtId="17" showAll="0"/>
    <pivotField axis="axisRow" showAll="0">
      <items count="2">
        <item x="0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axis="axisCol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</pivotFields>
  <rowFields count="3">
    <field x="2"/>
    <field x="5"/>
    <field x="8"/>
  </rowFields>
  <rowItems count="4">
    <i>
      <x/>
    </i>
    <i r="1">
      <x/>
    </i>
    <i r="2">
      <x/>
    </i>
    <i t="grand">
      <x/>
    </i>
  </rowItems>
  <colFields count="1">
    <field x="17"/>
  </colFields>
  <colItems count="2">
    <i>
      <x/>
    </i>
    <i t="grand">
      <x/>
    </i>
  </colItems>
  <dataFields count="1">
    <dataField name="Suma de MONTO" fld="11" baseField="0" baseItem="0" numFmtId="3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4B0B9F2-C341-45C4-BE20-937D54848065}" name="Tbl Dinamica Depositos" cacheId="50" applyNumberFormats="0" applyBorderFormats="0" applyFontFormats="0" applyPatternFormats="0" applyAlignmentFormats="0" applyWidthHeightFormats="1" dataCaption="Valores" updatedVersion="8" minRefreshableVersion="3" showCalcMbrs="0" useAutoFormatting="1" itemPrintTitles="1" createdVersion="3" indent="0" outline="1" outlineData="1" multipleFieldFilters="0">
  <location ref="A3:E8" firstHeaderRow="1" firstDataRow="2" firstDataCol="1"/>
  <pivotFields count="27">
    <pivotField axis="axisCol" showAll="0">
      <items count="4">
        <item x="2"/>
        <item x="1"/>
        <item x="0"/>
        <item t="default"/>
      </items>
    </pivotField>
    <pivotField numFmtId="17" showAll="0"/>
    <pivotField showAll="0"/>
    <pivotField showAll="0"/>
    <pivotField axis="axisRow" showAll="0">
      <items count="2">
        <item x="0"/>
        <item t="default"/>
      </items>
    </pivotField>
    <pivotField showAll="0"/>
    <pivotField axis="axisRow" showAll="0">
      <items count="2">
        <item x="0"/>
        <item t="default"/>
      </items>
    </pivotField>
    <pivotField showAll="0"/>
    <pivotField showAll="0"/>
    <pivotField axis="axisRow" showAll="0">
      <items count="2">
        <item x="0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3">
    <field x="4"/>
    <field x="6"/>
    <field x="9"/>
  </rowFields>
  <rowItems count="4">
    <i>
      <x/>
    </i>
    <i r="1">
      <x/>
    </i>
    <i r="2">
      <x/>
    </i>
    <i t="grand">
      <x/>
    </i>
  </rowItems>
  <colFields count="1">
    <field x="0"/>
  </colFields>
  <colItems count="4">
    <i>
      <x/>
    </i>
    <i>
      <x v="1"/>
    </i>
    <i>
      <x v="2"/>
    </i>
    <i t="grand">
      <x/>
    </i>
  </colItems>
  <dataFields count="1">
    <dataField name="Suma de Monto" fld="14" baseField="0" baseItem="0" numFmtId="3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925D120-FA1F-4C09-B511-BF34A9AD385E}" name="Tbl Dinamica Transaccional" cacheId="51" applyNumberFormats="0" applyBorderFormats="0" applyFontFormats="0" applyPatternFormats="0" applyAlignmentFormats="0" applyWidthHeightFormats="1" dataCaption="Valores" updatedVersion="8" minRefreshableVersion="3" showCalcMbrs="0" useAutoFormatting="1" itemPrintTitles="1" createdVersion="3" indent="0" compact="0" compactData="0" multipleFieldFilters="0">
  <location ref="A3:M12" firstHeaderRow="1" firstDataRow="2" firstDataCol="5"/>
  <pivotFields count="22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2"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2"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>
      <items count="2"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3">
        <item x="1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>
      <items count="8">
        <item x="4"/>
        <item x="1"/>
        <item x="6"/>
        <item x="2"/>
        <item x="0"/>
        <item x="5"/>
        <item x="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2"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1"/>
    <field x="2"/>
    <field x="4"/>
    <field x="12"/>
    <field x="14"/>
  </rowFields>
  <rowItems count="8">
    <i>
      <x/>
      <x/>
      <x/>
      <x/>
      <x/>
    </i>
    <i t="default" r="3">
      <x/>
    </i>
    <i r="3">
      <x v="1"/>
      <x/>
    </i>
    <i t="default" r="3">
      <x v="1"/>
    </i>
    <i t="default" r="2">
      <x/>
    </i>
    <i t="default" r="1">
      <x/>
    </i>
    <i t="default">
      <x/>
    </i>
    <i t="grand">
      <x/>
    </i>
  </rowItems>
  <colFields count="1">
    <field x="13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Suma de MONTO" fld="15" baseField="0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347FE18-78B3-4D8A-A119-D409BA466C7D}" name="Tabla4" displayName="Tabla4" ref="A1:R9" totalsRowShown="0">
  <autoFilter ref="A1:R9" xr:uid="{6347FE18-78B3-4D8A-A119-D409BA466C7D}"/>
  <tableColumns count="18">
    <tableColumn id="1" xr3:uid="{E6497F8C-FF2C-43F7-991B-164FD7E435DB}" name="TIENDA"/>
    <tableColumn id="2" xr3:uid="{ED68186C-6405-46DB-A0AD-6796984CB8AD}" name="CDA"/>
    <tableColumn id="3" xr3:uid="{6D0E7D3C-0758-4103-883C-FFEB9D9CA2AE}" name="FECHA TRANSACCION"/>
    <tableColumn id="4" xr3:uid="{E2A003A0-ED7A-42B5-B6D2-7CA146669692}" name="TRANSACCIONES CAJA"/>
    <tableColumn id="5" xr3:uid="{3E42A9B1-E35B-453D-BE56-8BBF3263DFFE}" name="CODIGO DE RAZON"/>
    <tableColumn id="6" xr3:uid="{3AD2940A-C09C-4076-B4EB-F0D5143A087F}" name="Cheque"/>
    <tableColumn id="7" xr3:uid="{186021BD-4F30-4005-8D59-5BFFEC2636A7}" name="Efectivo"/>
    <tableColumn id="8" xr3:uid="{6D746CC6-42C8-4BE3-9EB4-3AB822650F4E}" name="Orden de compra"/>
    <tableColumn id="9" xr3:uid="{F5430EFA-9DF7-4D21-9E0F-A82DCAB3F3FB}" name="Puntos"/>
    <tableColumn id="10" xr3:uid="{317265F9-2419-4148-A185-27DB2F80EF62}" name="Tarjeta de Credito"/>
    <tableColumn id="11" xr3:uid="{D7EEADAF-3F34-4512-B769-A1BA61F31869}" name="Transferencia Bancaria"/>
    <tableColumn id="12" xr3:uid="{2E74D976-8525-4F8D-BA25-89E0671BCE83}" name="Valor a Favor"/>
    <tableColumn id="13" xr3:uid="{015D6AE0-9748-4086-B04D-3266662E652A}" name="Total general"/>
    <tableColumn id="14" xr3:uid="{82F88F5C-4E8C-4C6D-A5AC-BADC63CACF89}" name="CIA"/>
    <tableColumn id="15" xr3:uid="{CED28A9F-0466-437A-94A7-9E8A513E7959}" name="INHOUSE DEP-TC"/>
    <tableColumn id="16" xr3:uid="{2046A48E-87C5-4EE4-B537-B0FC3A2D2CE7}" name="INGRESOS CORTE DE CAJA"/>
    <tableColumn id="17" xr3:uid="{E36A46B9-CA96-4487-81EF-93793798B542}" name="CIERRE P.O.S."/>
    <tableColumn id="18" xr3:uid="{4536C6DC-BB45-4BC8-BFD6-304099DDF004}" name="VENTAS TC INTERNET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3175826-FBFC-4837-96C0-2D59D48ECB48}" name="Tabla1" displayName="Tabla1" ref="A1:Y32" totalsRowShown="0" headerRowDxfId="11" headerRowBorderDxfId="10" tableBorderDxfId="9">
  <autoFilter ref="A1:Y32" xr:uid="{F3175826-FBFC-4837-96C0-2D59D48ECB48}"/>
  <tableColumns count="25">
    <tableColumn id="1" xr3:uid="{4E2507EE-D3D5-406B-8F6E-3BE8834F73C0}" name="NÚMERO TRANSACCION"/>
    <tableColumn id="2" xr3:uid="{FD7D8F99-ECC5-416B-A61C-F51419984BB1}" name="DESC CUENTA"/>
    <tableColumn id="3" xr3:uid="{0FBBE468-5B8A-43A1-A01D-5764459194F5}" name="CENTRO ANALISIS"/>
    <tableColumn id="4" xr3:uid="{FE13F0F8-CF92-418D-9D58-A75E5CDF9E60}" name="RI"/>
    <tableColumn id="5" xr3:uid="{D049EB69-F572-4EDC-A46A-3674426D3BCC}" name="NO CAJA"/>
    <tableColumn id="6" xr3:uid="{9937FDBB-489F-4CE4-9B48-E3ECED0AC537}" name="DESC ALMACEN"/>
    <tableColumn id="7" xr3:uid="{1BC04813-AEE7-426E-878E-1FBF68620981}" name="REFERENCIA"/>
    <tableColumn id="8" xr3:uid="{120BB637-926E-4CB4-90BE-2435FE2CA781}" name="PERIODO CONTABLE" dataDxfId="8"/>
    <tableColumn id="9" xr3:uid="{CB6810FA-A3E8-4FA7-BF4F-19EE5E8D261B}" name="FECHA AUTORIZACIÓN"/>
    <tableColumn id="10" xr3:uid="{9EE1203D-0DDD-42CD-A7F6-7FD945FBBB37}" name="TIPO PROMOCIÓN"/>
    <tableColumn id="11" xr3:uid="{C733588F-1B0E-472E-918E-99C4191EEC42}" name="MONEDA"/>
    <tableColumn id="12" xr3:uid="{0DC0D858-0A62-4ECB-851C-CE0A5972197C}" name="MONTO"/>
    <tableColumn id="13" xr3:uid="{07EEFDC6-1490-4C8C-88E1-92B9239A2768}" name="NUMERO CONFIRMADO"/>
    <tableColumn id="14" xr3:uid="{25819654-F6FA-44C3-8FF2-7DC13AD85E7D}" name="Monto Confirmado"/>
    <tableColumn id="15" xr3:uid="{34F0C211-36E0-465A-828B-6BC8AD7E19D8}" name="Diferencia"/>
    <tableColumn id="16" xr3:uid="{37FAB765-9D45-4174-8A7D-C9B8E6BBA563}" name="TASA DE CAMBIO"/>
    <tableColumn id="17" xr3:uid="{8431D9D3-912E-4A4A-8474-F94EA2412B36}" name="MONTO MNL"/>
    <tableColumn id="18" xr3:uid="{15DA34DB-4B16-42C7-85B5-0559F707F5E6}" name="ESTADO"/>
    <tableColumn id="19" xr3:uid="{07D32101-1744-46E0-ADDB-A9E71595FB29}" name="FECHA BANCO"/>
    <tableColumn id="20" xr3:uid="{43771851-1F2F-449A-8111-57B798623D47}" name="NÚMERO DE DEPOSITO"/>
    <tableColumn id="21" xr3:uid="{F41EB143-866C-41A1-B315-3D7AD852D2AC}" name="NÚMERO CCF"/>
    <tableColumn id="22" xr3:uid="{AABE4B0C-8164-47EF-8664-1B2A907EF53E}" name="FECHA CONFIRMACION"/>
    <tableColumn id="23" xr3:uid="{674391D4-E134-4698-9121-17A2DEA8F73E}" name="FECHA CONTABLE"/>
    <tableColumn id="24" xr3:uid="{E58F5BDA-F412-4BEE-8260-4580C13CCF30}" name="EMPLEADO"/>
    <tableColumn id="25" xr3:uid="{3A0EDEF5-4E57-401C-B1EA-9823AE0B8CD7}" name="ACTUALIZADO POR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EA800D7-A303-461C-99D9-8E3FCAB09FD5}" name="Tabla2" displayName="Tabla2" ref="A1:AA9" totalsRowShown="0" headerRowDxfId="7" headerRowBorderDxfId="6" tableBorderDxfId="5">
  <autoFilter ref="A1:AA9" xr:uid="{EEA800D7-A303-461C-99D9-8E3FCAB09FD5}"/>
  <tableColumns count="27">
    <tableColumn id="1" xr3:uid="{76E6F635-85DB-4A7D-B545-2DA85642F929}" name="Compañia"/>
    <tableColumn id="2" xr3:uid="{F9667C1A-2DC8-4D87-8025-72876C4F4D74}" name="Período" dataDxfId="4"/>
    <tableColumn id="3" xr3:uid="{DF69F79F-FCE9-4F79-8994-38931A4E14F4}" name="Tipo"/>
    <tableColumn id="4" xr3:uid="{B8ADF77C-7DF0-42A9-AEBC-1440F65E8B9A}" name="Número Transacción"/>
    <tableColumn id="5" xr3:uid="{3D75DF35-896E-4715-97C9-C7D56AB09DCC}" name="Centro Analisis"/>
    <tableColumn id="6" xr3:uid="{947B7EF5-8800-4E99-A1F0-F3336BFE97FB}" name="Tienda"/>
    <tableColumn id="7" xr3:uid="{238BDC24-66BB-4C28-8486-E699E863D227}" name="Desc Almacen"/>
    <tableColumn id="8" xr3:uid="{811F0570-7D1E-4738-965C-42795F5F4891}" name="Caja"/>
    <tableColumn id="9" xr3:uid="{8DEAF603-1E4E-4031-ABC5-8B5578203540}" name="Estado"/>
    <tableColumn id="10" xr3:uid="{942E1ADB-020A-4C44-A682-436B9F9A7935}" name="Fecha deposito"/>
    <tableColumn id="11" xr3:uid="{C3DFA162-2000-419B-988D-1F9AE58750D7}" name="Numero Deposito"/>
    <tableColumn id="12" xr3:uid="{383BF460-1591-4B1B-90DC-4B838E6D16F3}" name="Numero Cuenta"/>
    <tableColumn id="13" xr3:uid="{81BA9686-F2BC-44F7-BA9B-7AC5B93D7A67}" name="Desc Cuenta"/>
    <tableColumn id="14" xr3:uid="{4C6794DC-36E4-42D5-8629-48911F538ECA}" name="Moneda"/>
    <tableColumn id="15" xr3:uid="{2CB79CCD-9CE4-4EC5-A0C7-B4076A7FB604}" name="Monto"/>
    <tableColumn id="16" xr3:uid="{2FFF582A-F652-4900-BA89-64883E5D0CB3}" name="Fecha Banco"/>
    <tableColumn id="17" xr3:uid="{ACBC2E1E-0C95-4D4A-9718-1504A95DE3FA}" name="Número Déposito Confirmado"/>
    <tableColumn id="18" xr3:uid="{EF74ACEB-4BBB-4BFB-AE61-7884CA18FC96}" name="Número Cuenta Confirmada"/>
    <tableColumn id="19" xr3:uid="{78683151-5063-4FBE-9EFF-F59D5D0327C9}" name="Monto Confirmado"/>
    <tableColumn id="20" xr3:uid="{03609D4A-64A0-4BB8-B0A5-81409F9B4110}" name="Diferencia"/>
    <tableColumn id="21" xr3:uid="{4D2D1498-49D1-4238-9358-B17C6A4FAF05}" name="Tasa de Cambio"/>
    <tableColumn id="22" xr3:uid="{1B630010-5B51-4088-B482-3F090CE6EFCC}" name="Monto MNL"/>
    <tableColumn id="23" xr3:uid="{96E6D307-ADF1-43D9-9639-7B2861C3064E}" name="Motivo"/>
    <tableColumn id="24" xr3:uid="{58A17034-E6A2-44A7-8ECB-DF60D4D413BB}" name="Fecha confirmacion"/>
    <tableColumn id="25" xr3:uid="{07680B95-28BD-4408-86A5-B82585CEB980}" name="Fecha Contabilización"/>
    <tableColumn id="26" xr3:uid="{F91DF71B-370E-4B2F-937F-5EA6AAEA59C9}" name="Empleado"/>
    <tableColumn id="27" xr3:uid="{E82C5115-D81F-4E33-BE3D-D4523B97C57B}" name="Actualizado por"/>
  </tableColumns>
  <tableStyleInfo name="TableStyleLight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A195ADD-BDCC-4132-BC14-7723F3F23184}" name="Tabla3" displayName="Tabla3" ref="A1:V32" totalsRowShown="0" headerRowDxfId="3" headerRowBorderDxfId="2" tableBorderDxfId="1">
  <autoFilter ref="A1:V32" xr:uid="{AA195ADD-BDCC-4132-BC14-7723F3F23184}"/>
  <tableColumns count="22">
    <tableColumn id="1" xr3:uid="{05C5FE93-5868-4246-AD15-C2010063EC09}" name="CADENA"/>
    <tableColumn id="2" xr3:uid="{66848472-2DFC-4094-9A2E-B143DBEF4682}" name="TIENDA"/>
    <tableColumn id="3" xr3:uid="{F3D7A9D3-5D97-4C66-A7B8-7517EAE06727}" name="CDA"/>
    <tableColumn id="4" xr3:uid="{10D12515-B460-44C8-A008-EA641929DB47}" name="CAJA"/>
    <tableColumn id="5" xr3:uid="{5FDB7988-7F48-4033-A3CD-9359EEA4DA72}" name="FECHA TRANSACCION" dataDxfId="0"/>
    <tableColumn id="6" xr3:uid="{E21642EB-7711-45EB-978E-72E9C3C2BCBD}" name="CORRELATIVO CAJA"/>
    <tableColumn id="7" xr3:uid="{C2012ABD-C7C2-4CC2-B7A5-5E53BBD11609}" name="No. TRANSACCION"/>
    <tableColumn id="8" xr3:uid="{744D25CD-51CE-4470-A813-A6F29AFCDABC}" name="TRANSACCION ORIGINAL (Devolución)"/>
    <tableColumn id="9" xr3:uid="{0200C4C7-53A5-404C-940A-2B87DE6A310B}" name="TRANSACCIÓN CAJA ORIGINAL(Devolución)"/>
    <tableColumn id="10" xr3:uid="{F49E728D-F73F-42B9-B588-2AE71E0CBE80}" name="No. DOCUMENTO"/>
    <tableColumn id="11" xr3:uid="{04456331-4011-4AD4-BB04-F795F99E3E4E}" name="NUMERO DE SOLICITUD"/>
    <tableColumn id="12" xr3:uid="{31332EA4-E764-4A16-9466-2C53AAB04FC3}" name="TIPO DOCUMENTO"/>
    <tableColumn id="13" xr3:uid="{559005B9-9946-43E7-9EB4-DB6E1EDB7EAE}" name="TRANSACCIONES CAJA"/>
    <tableColumn id="14" xr3:uid="{477DFAFB-05B0-4755-B870-501ECB4287B4}" name="FORMA DE PAGO"/>
    <tableColumn id="15" xr3:uid="{5B5ED222-6D48-43BB-83B9-998D91C474F2}" name="CODIGO DE RAZON"/>
    <tableColumn id="16" xr3:uid="{142EDDE4-584E-4249-9355-F34C9018965C}" name="MONTO"/>
    <tableColumn id="17" xr3:uid="{80BAD18B-C18B-4133-9247-7B874110E1F9}" name="NUM_COTIZACON"/>
    <tableColumn id="18" xr3:uid="{A04965FD-046E-4D32-AA39-5E8E971E3F1C}" name="NUM_CUENTA"/>
    <tableColumn id="19" xr3:uid="{8A851622-BA32-4701-BE15-4DF0BFE0C807}" name="NOMBRE_CLIENTE"/>
    <tableColumn id="20" xr3:uid="{1F0A321C-D586-425F-B2EB-BC4166715BCD}" name="BANCO"/>
    <tableColumn id="21" xr3:uid="{BFFD9795-FE5C-47AF-A68F-7427F0701406}" name="AUTORIZACION"/>
    <tableColumn id="22" xr3:uid="{30969EC9-A1B4-4FE3-8525-AFB257D7D4FA}" name="PROMOCION"/>
  </tableColumns>
  <tableStyleInfo name="TableStyleLight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6B9AD7-6B5D-4CFE-919D-F766F5F1A1DA}">
  <sheetPr codeName="Hoja2"/>
  <dimension ref="A1:V9"/>
  <sheetViews>
    <sheetView tabSelected="1" workbookViewId="0">
      <selection sqref="A1:R9"/>
    </sheetView>
  </sheetViews>
  <sheetFormatPr baseColWidth="10" defaultRowHeight="15" x14ac:dyDescent="0.25"/>
  <cols>
    <col min="3" max="3" width="22.140625" customWidth="1"/>
    <col min="4" max="4" width="22.85546875" customWidth="1"/>
    <col min="5" max="5" width="19.85546875" customWidth="1"/>
    <col min="8" max="8" width="18.42578125" customWidth="1"/>
    <col min="10" max="10" width="19" customWidth="1"/>
    <col min="11" max="11" width="23" customWidth="1"/>
    <col min="12" max="12" width="14.5703125" customWidth="1"/>
    <col min="13" max="13" width="14.7109375" customWidth="1"/>
    <col min="15" max="15" width="18" customWidth="1"/>
    <col min="16" max="16" width="25.85546875" customWidth="1"/>
    <col min="17" max="17" width="14.85546875" customWidth="1"/>
    <col min="18" max="18" width="21.7109375" customWidth="1"/>
  </cols>
  <sheetData>
    <row r="1" spans="1:22" x14ac:dyDescent="0.25">
      <c r="A1" t="s">
        <v>51</v>
      </c>
      <c r="B1" t="s">
        <v>52</v>
      </c>
      <c r="C1" t="s">
        <v>54</v>
      </c>
      <c r="D1" t="s">
        <v>62</v>
      </c>
      <c r="E1" t="s">
        <v>64</v>
      </c>
      <c r="F1" t="s">
        <v>192</v>
      </c>
      <c r="G1" t="s">
        <v>130</v>
      </c>
      <c r="H1" t="s">
        <v>220</v>
      </c>
      <c r="I1" t="s">
        <v>161</v>
      </c>
      <c r="J1" t="s">
        <v>117</v>
      </c>
      <c r="K1" t="s">
        <v>211</v>
      </c>
      <c r="L1" t="s">
        <v>187</v>
      </c>
      <c r="M1" t="s">
        <v>89</v>
      </c>
      <c r="N1" t="s">
        <v>240</v>
      </c>
      <c r="O1" t="s">
        <v>241</v>
      </c>
      <c r="P1" t="s">
        <v>242</v>
      </c>
      <c r="Q1" t="s">
        <v>243</v>
      </c>
      <c r="R1" t="s">
        <v>244</v>
      </c>
      <c r="S1" t="s">
        <v>245</v>
      </c>
      <c r="T1" t="s">
        <v>246</v>
      </c>
      <c r="U1" t="s">
        <v>247</v>
      </c>
      <c r="V1" t="s">
        <v>248</v>
      </c>
    </row>
    <row r="2" spans="1:22" x14ac:dyDescent="0.25">
      <c r="A2" t="s">
        <v>112</v>
      </c>
      <c r="B2">
        <v>50202</v>
      </c>
      <c r="C2" s="9">
        <v>44771</v>
      </c>
      <c r="D2" t="s">
        <v>124</v>
      </c>
      <c r="E2" t="s">
        <v>234</v>
      </c>
      <c r="F2">
        <v>2667</v>
      </c>
      <c r="G2">
        <v>15885.35</v>
      </c>
      <c r="I2">
        <v>2887</v>
      </c>
      <c r="J2">
        <v>32100.750000000004</v>
      </c>
      <c r="K2">
        <v>1587</v>
      </c>
      <c r="L2">
        <v>999</v>
      </c>
      <c r="M2">
        <v>56126.100000000006</v>
      </c>
      <c r="N2" t="s">
        <v>92</v>
      </c>
    </row>
    <row r="3" spans="1:22" x14ac:dyDescent="0.25">
      <c r="A3" t="s">
        <v>112</v>
      </c>
      <c r="B3">
        <v>50202</v>
      </c>
      <c r="C3" s="9">
        <v>44771</v>
      </c>
      <c r="D3" t="s">
        <v>235</v>
      </c>
      <c r="F3">
        <v>2667</v>
      </c>
      <c r="G3">
        <v>15885.35</v>
      </c>
      <c r="I3">
        <v>2887</v>
      </c>
      <c r="J3">
        <v>32100.750000000004</v>
      </c>
      <c r="K3">
        <v>1587</v>
      </c>
      <c r="L3">
        <v>999</v>
      </c>
      <c r="M3">
        <v>56126.100000000006</v>
      </c>
      <c r="N3" t="s">
        <v>249</v>
      </c>
    </row>
    <row r="4" spans="1:22" x14ac:dyDescent="0.25">
      <c r="A4" t="s">
        <v>112</v>
      </c>
      <c r="B4">
        <v>50202</v>
      </c>
      <c r="C4" s="9">
        <v>44771</v>
      </c>
      <c r="D4" t="s">
        <v>116</v>
      </c>
      <c r="E4" t="s">
        <v>234</v>
      </c>
      <c r="G4">
        <v>462.2</v>
      </c>
      <c r="H4">
        <v>298</v>
      </c>
      <c r="J4">
        <v>1289</v>
      </c>
      <c r="M4">
        <v>2049.1999999999998</v>
      </c>
      <c r="N4" t="s">
        <v>250</v>
      </c>
    </row>
    <row r="5" spans="1:22" x14ac:dyDescent="0.25">
      <c r="A5" t="s">
        <v>112</v>
      </c>
      <c r="B5">
        <v>50202</v>
      </c>
      <c r="C5" s="9">
        <v>44771</v>
      </c>
      <c r="D5" t="s">
        <v>236</v>
      </c>
      <c r="G5">
        <v>462.2</v>
      </c>
      <c r="H5">
        <v>298</v>
      </c>
      <c r="J5">
        <v>1289</v>
      </c>
      <c r="M5">
        <v>2049.1999999999998</v>
      </c>
    </row>
    <row r="6" spans="1:22" x14ac:dyDescent="0.25">
      <c r="A6" t="s">
        <v>112</v>
      </c>
      <c r="B6">
        <v>50202</v>
      </c>
      <c r="C6" t="s">
        <v>237</v>
      </c>
      <c r="F6">
        <v>2667</v>
      </c>
      <c r="G6">
        <v>16347.550000000001</v>
      </c>
      <c r="H6">
        <v>298</v>
      </c>
      <c r="I6">
        <v>2887</v>
      </c>
      <c r="J6">
        <v>33389.75</v>
      </c>
      <c r="K6">
        <v>1587</v>
      </c>
      <c r="L6">
        <v>999</v>
      </c>
      <c r="M6">
        <v>58175.3</v>
      </c>
      <c r="N6" t="s">
        <v>99</v>
      </c>
    </row>
    <row r="7" spans="1:22" x14ac:dyDescent="0.25">
      <c r="A7" t="s">
        <v>112</v>
      </c>
      <c r="B7" t="s">
        <v>238</v>
      </c>
      <c r="F7">
        <v>2667</v>
      </c>
      <c r="G7">
        <v>16347.550000000001</v>
      </c>
      <c r="H7">
        <v>298</v>
      </c>
      <c r="I7">
        <v>2887</v>
      </c>
      <c r="J7">
        <v>33389.75</v>
      </c>
      <c r="K7">
        <v>1587</v>
      </c>
      <c r="L7">
        <v>999</v>
      </c>
      <c r="M7">
        <v>58175.3</v>
      </c>
      <c r="N7" t="s">
        <v>92</v>
      </c>
    </row>
    <row r="8" spans="1:22" x14ac:dyDescent="0.25">
      <c r="A8" t="s">
        <v>239</v>
      </c>
      <c r="F8">
        <v>2667</v>
      </c>
      <c r="G8">
        <v>16347.550000000001</v>
      </c>
      <c r="H8">
        <v>298</v>
      </c>
      <c r="I8">
        <v>2887</v>
      </c>
      <c r="J8">
        <v>33389.75</v>
      </c>
      <c r="K8">
        <v>1587</v>
      </c>
      <c r="L8">
        <v>999</v>
      </c>
      <c r="M8">
        <v>58175.3</v>
      </c>
      <c r="N8" t="s">
        <v>249</v>
      </c>
    </row>
    <row r="9" spans="1:22" x14ac:dyDescent="0.25">
      <c r="A9" t="s">
        <v>89</v>
      </c>
      <c r="F9">
        <v>2667</v>
      </c>
      <c r="G9">
        <v>16347.550000000001</v>
      </c>
      <c r="H9">
        <v>298</v>
      </c>
      <c r="I9">
        <v>2887</v>
      </c>
      <c r="J9">
        <v>33389.75</v>
      </c>
      <c r="K9">
        <v>1587</v>
      </c>
      <c r="L9">
        <v>999</v>
      </c>
      <c r="M9">
        <v>58175.3</v>
      </c>
      <c r="N9" t="s">
        <v>250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38765F-ED80-4368-96BF-8629CAE67874}">
  <dimension ref="A3:C8"/>
  <sheetViews>
    <sheetView workbookViewId="0"/>
  </sheetViews>
  <sheetFormatPr baseColWidth="10" defaultRowHeight="15" x14ac:dyDescent="0.25"/>
  <cols>
    <col min="1" max="1" width="29.7109375" bestFit="1" customWidth="1"/>
    <col min="2" max="2" width="22.42578125" bestFit="1" customWidth="1"/>
    <col min="3" max="3" width="12.5703125" bestFit="1" customWidth="1"/>
  </cols>
  <sheetData>
    <row r="3" spans="1:3" x14ac:dyDescent="0.25">
      <c r="A3" s="3" t="s">
        <v>91</v>
      </c>
      <c r="B3" s="3" t="s">
        <v>88</v>
      </c>
    </row>
    <row r="4" spans="1:3" x14ac:dyDescent="0.25">
      <c r="A4" s="3" t="s">
        <v>90</v>
      </c>
      <c r="B4" t="s">
        <v>76</v>
      </c>
      <c r="C4" t="s">
        <v>89</v>
      </c>
    </row>
    <row r="5" spans="1:3" x14ac:dyDescent="0.25">
      <c r="A5" s="4">
        <v>50202</v>
      </c>
      <c r="B5" s="7">
        <v>47993.850000000006</v>
      </c>
      <c r="C5" s="7">
        <v>47993.850000000006</v>
      </c>
    </row>
    <row r="6" spans="1:3" x14ac:dyDescent="0.25">
      <c r="A6" s="5" t="s">
        <v>72</v>
      </c>
      <c r="B6" s="7">
        <v>47993.850000000006</v>
      </c>
      <c r="C6" s="7">
        <v>47993.850000000006</v>
      </c>
    </row>
    <row r="7" spans="1:3" x14ac:dyDescent="0.25">
      <c r="A7" s="6" t="s">
        <v>73</v>
      </c>
      <c r="B7" s="7">
        <v>47993.850000000006</v>
      </c>
      <c r="C7" s="7">
        <v>47993.850000000006</v>
      </c>
    </row>
    <row r="8" spans="1:3" x14ac:dyDescent="0.25">
      <c r="A8" s="4" t="s">
        <v>89</v>
      </c>
      <c r="B8" s="7">
        <v>47993.850000000006</v>
      </c>
      <c r="C8" s="7">
        <v>47993.850000000006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Y32"/>
  <sheetViews>
    <sheetView workbookViewId="0">
      <selection sqref="A1:Y32"/>
    </sheetView>
  </sheetViews>
  <sheetFormatPr baseColWidth="10" defaultColWidth="9.140625" defaultRowHeight="15" x14ac:dyDescent="0.25"/>
  <cols>
    <col min="1" max="1" width="23.42578125" customWidth="1"/>
    <col min="2" max="2" width="15.5703125" customWidth="1"/>
    <col min="3" max="3" width="18.5703125" customWidth="1"/>
    <col min="4" max="4" width="12" customWidth="1"/>
    <col min="5" max="5" width="11" customWidth="1"/>
    <col min="6" max="6" width="17.140625" customWidth="1"/>
    <col min="7" max="7" width="13.42578125" customWidth="1"/>
    <col min="8" max="8" width="20.5703125" customWidth="1"/>
    <col min="9" max="9" width="22.7109375" customWidth="1"/>
    <col min="10" max="10" width="18.42578125" customWidth="1"/>
    <col min="11" max="11" width="10.85546875" customWidth="1"/>
    <col min="12" max="12" width="9.7109375" customWidth="1"/>
    <col min="13" max="13" width="23" customWidth="1"/>
    <col min="14" max="14" width="18.5703125" customWidth="1"/>
    <col min="15" max="15" width="11.85546875" customWidth="1"/>
    <col min="16" max="16" width="18" customWidth="1"/>
    <col min="17" max="17" width="14.5703125" customWidth="1"/>
    <col min="18" max="18" width="10" customWidth="1"/>
    <col min="19" max="19" width="15.7109375" customWidth="1"/>
    <col min="20" max="20" width="22.5703125" customWidth="1"/>
    <col min="21" max="21" width="15.5703125" customWidth="1"/>
    <col min="22" max="22" width="23" customWidth="1"/>
    <col min="23" max="23" width="18.5703125" customWidth="1"/>
    <col min="24" max="24" width="18.28515625" customWidth="1"/>
    <col min="25" max="25" width="19.5703125" customWidth="1"/>
  </cols>
  <sheetData>
    <row r="1" spans="1:2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</row>
    <row r="2" spans="1:25" x14ac:dyDescent="0.25">
      <c r="A2">
        <v>1.2512004191320199E+19</v>
      </c>
      <c r="B2" t="s">
        <v>71</v>
      </c>
      <c r="C2">
        <v>50202</v>
      </c>
      <c r="D2">
        <v>512</v>
      </c>
      <c r="E2">
        <v>4</v>
      </c>
      <c r="F2" t="s">
        <v>72</v>
      </c>
      <c r="G2">
        <v>234174</v>
      </c>
      <c r="H2" s="1">
        <v>44743</v>
      </c>
      <c r="I2" t="s">
        <v>73</v>
      </c>
      <c r="J2" t="s">
        <v>74</v>
      </c>
      <c r="K2" t="s">
        <v>75</v>
      </c>
      <c r="L2">
        <v>20</v>
      </c>
      <c r="P2">
        <v>1</v>
      </c>
      <c r="Q2">
        <v>20</v>
      </c>
      <c r="R2" t="s">
        <v>76</v>
      </c>
      <c r="X2" t="s">
        <v>77</v>
      </c>
      <c r="Y2" t="s">
        <v>78</v>
      </c>
    </row>
    <row r="3" spans="1:25" x14ac:dyDescent="0.25">
      <c r="A3">
        <v>1.25120060628202E+19</v>
      </c>
      <c r="B3" t="s">
        <v>79</v>
      </c>
      <c r="C3">
        <v>50202</v>
      </c>
      <c r="D3">
        <v>512</v>
      </c>
      <c r="E3">
        <v>6</v>
      </c>
      <c r="F3" t="s">
        <v>72</v>
      </c>
      <c r="G3">
        <v>162035</v>
      </c>
      <c r="H3" s="1">
        <v>44743</v>
      </c>
      <c r="I3" t="s">
        <v>73</v>
      </c>
      <c r="J3" t="s">
        <v>80</v>
      </c>
      <c r="K3" t="s">
        <v>75</v>
      </c>
      <c r="L3">
        <v>2864.95</v>
      </c>
      <c r="P3">
        <v>1</v>
      </c>
      <c r="Q3">
        <v>2864.95</v>
      </c>
      <c r="R3" t="s">
        <v>76</v>
      </c>
      <c r="X3" t="s">
        <v>81</v>
      </c>
      <c r="Y3" t="s">
        <v>78</v>
      </c>
    </row>
    <row r="4" spans="1:25" x14ac:dyDescent="0.25">
      <c r="A4">
        <v>1.2512004189820201E+19</v>
      </c>
      <c r="B4" t="s">
        <v>71</v>
      </c>
      <c r="C4">
        <v>50202</v>
      </c>
      <c r="D4">
        <v>512</v>
      </c>
      <c r="E4">
        <v>4</v>
      </c>
      <c r="F4" t="s">
        <v>72</v>
      </c>
      <c r="G4">
        <v>882114</v>
      </c>
      <c r="H4" s="1">
        <v>44743</v>
      </c>
      <c r="I4" t="s">
        <v>73</v>
      </c>
      <c r="J4" t="s">
        <v>82</v>
      </c>
      <c r="K4" t="s">
        <v>75</v>
      </c>
      <c r="L4">
        <v>997</v>
      </c>
      <c r="P4">
        <v>1</v>
      </c>
      <c r="Q4">
        <v>997</v>
      </c>
      <c r="R4" t="s">
        <v>76</v>
      </c>
      <c r="X4" t="s">
        <v>77</v>
      </c>
      <c r="Y4" t="s">
        <v>78</v>
      </c>
    </row>
    <row r="5" spans="1:25" x14ac:dyDescent="0.25">
      <c r="A5">
        <v>1.2512004191420201E+19</v>
      </c>
      <c r="B5" t="s">
        <v>71</v>
      </c>
      <c r="C5">
        <v>50202</v>
      </c>
      <c r="D5">
        <v>512</v>
      </c>
      <c r="E5">
        <v>4</v>
      </c>
      <c r="F5" t="s">
        <v>72</v>
      </c>
      <c r="G5">
        <v>8621</v>
      </c>
      <c r="H5" s="1">
        <v>44743</v>
      </c>
      <c r="I5" t="s">
        <v>73</v>
      </c>
      <c r="J5" t="s">
        <v>83</v>
      </c>
      <c r="K5" t="s">
        <v>75</v>
      </c>
      <c r="L5">
        <v>1249</v>
      </c>
      <c r="P5">
        <v>1</v>
      </c>
      <c r="Q5">
        <v>1249</v>
      </c>
      <c r="R5" t="s">
        <v>76</v>
      </c>
      <c r="X5" t="s">
        <v>77</v>
      </c>
      <c r="Y5" t="s">
        <v>78</v>
      </c>
    </row>
    <row r="6" spans="1:25" x14ac:dyDescent="0.25">
      <c r="A6">
        <v>1.25120041893202E+19</v>
      </c>
      <c r="B6" t="s">
        <v>71</v>
      </c>
      <c r="C6">
        <v>50202</v>
      </c>
      <c r="D6">
        <v>512</v>
      </c>
      <c r="E6">
        <v>4</v>
      </c>
      <c r="F6" t="s">
        <v>72</v>
      </c>
      <c r="G6">
        <v>321049</v>
      </c>
      <c r="H6" s="1">
        <v>44743</v>
      </c>
      <c r="I6" t="s">
        <v>73</v>
      </c>
      <c r="J6" t="s">
        <v>84</v>
      </c>
      <c r="K6" t="s">
        <v>75</v>
      </c>
      <c r="L6">
        <v>423.18</v>
      </c>
      <c r="P6">
        <v>1</v>
      </c>
      <c r="Q6">
        <v>423.18</v>
      </c>
      <c r="R6" t="s">
        <v>76</v>
      </c>
      <c r="X6" t="s">
        <v>77</v>
      </c>
      <c r="Y6" t="s">
        <v>78</v>
      </c>
    </row>
    <row r="7" spans="1:25" x14ac:dyDescent="0.25">
      <c r="A7">
        <v>1.25120041877202E+19</v>
      </c>
      <c r="B7" t="s">
        <v>71</v>
      </c>
      <c r="C7">
        <v>50202</v>
      </c>
      <c r="D7">
        <v>512</v>
      </c>
      <c r="E7">
        <v>4</v>
      </c>
      <c r="F7" t="s">
        <v>72</v>
      </c>
      <c r="G7">
        <v>237221</v>
      </c>
      <c r="H7" s="1">
        <v>44743</v>
      </c>
      <c r="I7" t="s">
        <v>73</v>
      </c>
      <c r="J7" t="s">
        <v>84</v>
      </c>
      <c r="K7" t="s">
        <v>75</v>
      </c>
      <c r="L7">
        <v>550</v>
      </c>
      <c r="P7">
        <v>1</v>
      </c>
      <c r="Q7">
        <v>550</v>
      </c>
      <c r="R7" t="s">
        <v>76</v>
      </c>
      <c r="X7" t="s">
        <v>77</v>
      </c>
      <c r="Y7" t="s">
        <v>78</v>
      </c>
    </row>
    <row r="8" spans="1:25" x14ac:dyDescent="0.25">
      <c r="A8">
        <v>1.2512004187420201E+19</v>
      </c>
      <c r="B8" t="s">
        <v>71</v>
      </c>
      <c r="C8">
        <v>50202</v>
      </c>
      <c r="D8">
        <v>512</v>
      </c>
      <c r="E8">
        <v>4</v>
      </c>
      <c r="F8" t="s">
        <v>72</v>
      </c>
      <c r="G8">
        <v>799607</v>
      </c>
      <c r="H8" s="1">
        <v>44743</v>
      </c>
      <c r="I8" t="s">
        <v>73</v>
      </c>
      <c r="J8" t="s">
        <v>84</v>
      </c>
      <c r="K8" t="s">
        <v>75</v>
      </c>
      <c r="L8">
        <v>1202</v>
      </c>
      <c r="P8">
        <v>1</v>
      </c>
      <c r="Q8">
        <v>1202</v>
      </c>
      <c r="R8" t="s">
        <v>76</v>
      </c>
      <c r="X8" t="s">
        <v>77</v>
      </c>
      <c r="Y8" t="s">
        <v>78</v>
      </c>
    </row>
    <row r="9" spans="1:25" x14ac:dyDescent="0.25">
      <c r="A9">
        <v>1.2512004189020201E+19</v>
      </c>
      <c r="B9" t="s">
        <v>71</v>
      </c>
      <c r="C9">
        <v>50202</v>
      </c>
      <c r="D9">
        <v>512</v>
      </c>
      <c r="E9">
        <v>4</v>
      </c>
      <c r="F9" t="s">
        <v>72</v>
      </c>
      <c r="G9">
        <v>311135</v>
      </c>
      <c r="H9" s="1">
        <v>44743</v>
      </c>
      <c r="I9" t="s">
        <v>73</v>
      </c>
      <c r="J9" t="s">
        <v>84</v>
      </c>
      <c r="K9" t="s">
        <v>75</v>
      </c>
      <c r="L9">
        <v>2243.0500000000002</v>
      </c>
      <c r="P9">
        <v>1</v>
      </c>
      <c r="Q9">
        <v>2243.0500000000002</v>
      </c>
      <c r="R9" t="s">
        <v>76</v>
      </c>
      <c r="X9" t="s">
        <v>77</v>
      </c>
      <c r="Y9" t="s">
        <v>78</v>
      </c>
    </row>
    <row r="10" spans="1:25" x14ac:dyDescent="0.25">
      <c r="A10">
        <v>1.25120054709202E+19</v>
      </c>
      <c r="B10" t="s">
        <v>79</v>
      </c>
      <c r="C10">
        <v>50202</v>
      </c>
      <c r="D10">
        <v>512</v>
      </c>
      <c r="E10">
        <v>5</v>
      </c>
      <c r="F10" t="s">
        <v>72</v>
      </c>
      <c r="G10">
        <v>181164</v>
      </c>
      <c r="H10" s="1">
        <v>44743</v>
      </c>
      <c r="I10" t="s">
        <v>73</v>
      </c>
      <c r="J10" t="s">
        <v>84</v>
      </c>
      <c r="K10" t="s">
        <v>75</v>
      </c>
      <c r="L10">
        <v>177</v>
      </c>
      <c r="P10">
        <v>1</v>
      </c>
      <c r="Q10">
        <v>177</v>
      </c>
      <c r="R10" t="s">
        <v>76</v>
      </c>
      <c r="X10" t="s">
        <v>85</v>
      </c>
      <c r="Y10" t="s">
        <v>78</v>
      </c>
    </row>
    <row r="11" spans="1:25" x14ac:dyDescent="0.25">
      <c r="A11">
        <v>1.2512005472220201E+19</v>
      </c>
      <c r="B11" t="s">
        <v>71</v>
      </c>
      <c r="C11">
        <v>50202</v>
      </c>
      <c r="D11">
        <v>512</v>
      </c>
      <c r="E11">
        <v>5</v>
      </c>
      <c r="F11" t="s">
        <v>72</v>
      </c>
      <c r="G11">
        <v>187016</v>
      </c>
      <c r="H11" s="1">
        <v>44743</v>
      </c>
      <c r="I11" t="s">
        <v>73</v>
      </c>
      <c r="J11" t="s">
        <v>84</v>
      </c>
      <c r="K11" t="s">
        <v>75</v>
      </c>
      <c r="L11">
        <v>4049.99</v>
      </c>
      <c r="P11">
        <v>1</v>
      </c>
      <c r="Q11">
        <v>4049.99</v>
      </c>
      <c r="R11" t="s">
        <v>76</v>
      </c>
      <c r="X11" t="s">
        <v>85</v>
      </c>
      <c r="Y11" t="s">
        <v>78</v>
      </c>
    </row>
    <row r="12" spans="1:25" x14ac:dyDescent="0.25">
      <c r="A12">
        <v>1.2512004191520201E+19</v>
      </c>
      <c r="B12" t="s">
        <v>71</v>
      </c>
      <c r="C12">
        <v>50202</v>
      </c>
      <c r="D12">
        <v>512</v>
      </c>
      <c r="E12">
        <v>4</v>
      </c>
      <c r="F12" t="s">
        <v>72</v>
      </c>
      <c r="G12">
        <v>8621</v>
      </c>
      <c r="H12" s="1">
        <v>44743</v>
      </c>
      <c r="I12" t="s">
        <v>73</v>
      </c>
      <c r="J12" t="s">
        <v>83</v>
      </c>
      <c r="K12" t="s">
        <v>75</v>
      </c>
      <c r="L12">
        <v>20</v>
      </c>
      <c r="P12">
        <v>1</v>
      </c>
      <c r="Q12">
        <v>20</v>
      </c>
      <c r="R12" t="s">
        <v>76</v>
      </c>
      <c r="X12" t="s">
        <v>77</v>
      </c>
      <c r="Y12" t="s">
        <v>78</v>
      </c>
    </row>
    <row r="13" spans="1:25" x14ac:dyDescent="0.25">
      <c r="A13">
        <v>1.2512005471520201E+19</v>
      </c>
      <c r="B13" t="s">
        <v>71</v>
      </c>
      <c r="C13">
        <v>50202</v>
      </c>
      <c r="D13">
        <v>512</v>
      </c>
      <c r="E13">
        <v>5</v>
      </c>
      <c r="F13" t="s">
        <v>72</v>
      </c>
      <c r="G13">
        <v>241830</v>
      </c>
      <c r="H13" s="1">
        <v>44743</v>
      </c>
      <c r="I13" t="s">
        <v>73</v>
      </c>
      <c r="J13" t="s">
        <v>84</v>
      </c>
      <c r="K13" t="s">
        <v>75</v>
      </c>
      <c r="L13">
        <v>335</v>
      </c>
      <c r="P13">
        <v>1</v>
      </c>
      <c r="Q13">
        <v>335</v>
      </c>
      <c r="R13" t="s">
        <v>76</v>
      </c>
      <c r="X13" t="s">
        <v>85</v>
      </c>
      <c r="Y13" t="s">
        <v>78</v>
      </c>
    </row>
    <row r="14" spans="1:25" x14ac:dyDescent="0.25">
      <c r="A14">
        <v>1.2512004188320201E+19</v>
      </c>
      <c r="B14" t="s">
        <v>71</v>
      </c>
      <c r="C14">
        <v>50202</v>
      </c>
      <c r="D14">
        <v>512</v>
      </c>
      <c r="E14">
        <v>4</v>
      </c>
      <c r="F14" t="s">
        <v>72</v>
      </c>
      <c r="G14">
        <v>520105</v>
      </c>
      <c r="H14" s="1">
        <v>44743</v>
      </c>
      <c r="I14" t="s">
        <v>73</v>
      </c>
      <c r="J14" t="s">
        <v>84</v>
      </c>
      <c r="K14" t="s">
        <v>75</v>
      </c>
      <c r="L14">
        <v>3799</v>
      </c>
      <c r="P14">
        <v>1</v>
      </c>
      <c r="Q14">
        <v>3799</v>
      </c>
      <c r="R14" t="s">
        <v>76</v>
      </c>
      <c r="X14" t="s">
        <v>77</v>
      </c>
      <c r="Y14" t="s">
        <v>78</v>
      </c>
    </row>
    <row r="15" spans="1:25" x14ac:dyDescent="0.25">
      <c r="A15">
        <v>1.25120041894202E+19</v>
      </c>
      <c r="B15" t="s">
        <v>71</v>
      </c>
      <c r="C15">
        <v>50202</v>
      </c>
      <c r="D15">
        <v>512</v>
      </c>
      <c r="E15">
        <v>4</v>
      </c>
      <c r="F15" t="s">
        <v>72</v>
      </c>
      <c r="G15">
        <v>839342</v>
      </c>
      <c r="H15" s="1">
        <v>44743</v>
      </c>
      <c r="I15" t="s">
        <v>73</v>
      </c>
      <c r="J15" t="s">
        <v>84</v>
      </c>
      <c r="K15" t="s">
        <v>75</v>
      </c>
      <c r="L15">
        <v>455.49</v>
      </c>
      <c r="P15">
        <v>1</v>
      </c>
      <c r="Q15">
        <v>455.49</v>
      </c>
      <c r="R15" t="s">
        <v>76</v>
      </c>
      <c r="X15" t="s">
        <v>77</v>
      </c>
      <c r="Y15" t="s">
        <v>78</v>
      </c>
    </row>
    <row r="16" spans="1:25" x14ac:dyDescent="0.25">
      <c r="A16">
        <v>1.25120041901202E+19</v>
      </c>
      <c r="B16" t="s">
        <v>71</v>
      </c>
      <c r="C16">
        <v>50202</v>
      </c>
      <c r="D16">
        <v>512</v>
      </c>
      <c r="E16">
        <v>4</v>
      </c>
      <c r="F16" t="s">
        <v>72</v>
      </c>
      <c r="G16">
        <v>504928</v>
      </c>
      <c r="H16" s="1">
        <v>44743</v>
      </c>
      <c r="I16" t="s">
        <v>73</v>
      </c>
      <c r="J16" t="s">
        <v>86</v>
      </c>
      <c r="K16" t="s">
        <v>75</v>
      </c>
      <c r="L16">
        <v>777</v>
      </c>
      <c r="P16">
        <v>1</v>
      </c>
      <c r="Q16">
        <v>777</v>
      </c>
      <c r="R16" t="s">
        <v>76</v>
      </c>
      <c r="X16" t="s">
        <v>77</v>
      </c>
      <c r="Y16" t="s">
        <v>78</v>
      </c>
    </row>
    <row r="17" spans="1:25" x14ac:dyDescent="0.25">
      <c r="A17">
        <v>1.25120041911202E+19</v>
      </c>
      <c r="B17" t="s">
        <v>71</v>
      </c>
      <c r="C17">
        <v>50202</v>
      </c>
      <c r="D17">
        <v>512</v>
      </c>
      <c r="E17">
        <v>4</v>
      </c>
      <c r="F17" t="s">
        <v>72</v>
      </c>
      <c r="G17">
        <v>234174</v>
      </c>
      <c r="H17" s="1">
        <v>44743</v>
      </c>
      <c r="I17" t="s">
        <v>73</v>
      </c>
      <c r="J17" t="s">
        <v>74</v>
      </c>
      <c r="K17" t="s">
        <v>75</v>
      </c>
      <c r="L17">
        <v>2997</v>
      </c>
      <c r="P17">
        <v>1</v>
      </c>
      <c r="Q17">
        <v>2997</v>
      </c>
      <c r="R17" t="s">
        <v>76</v>
      </c>
      <c r="X17" t="s">
        <v>77</v>
      </c>
      <c r="Y17" t="s">
        <v>78</v>
      </c>
    </row>
    <row r="18" spans="1:25" x14ac:dyDescent="0.25">
      <c r="A18">
        <v>1.2512004187320199E+19</v>
      </c>
      <c r="B18" t="s">
        <v>71</v>
      </c>
      <c r="C18">
        <v>50202</v>
      </c>
      <c r="D18">
        <v>512</v>
      </c>
      <c r="E18">
        <v>4</v>
      </c>
      <c r="F18" t="s">
        <v>72</v>
      </c>
      <c r="G18">
        <v>133642</v>
      </c>
      <c r="H18" s="1">
        <v>44743</v>
      </c>
      <c r="I18" t="s">
        <v>73</v>
      </c>
      <c r="J18" t="s">
        <v>84</v>
      </c>
      <c r="K18" t="s">
        <v>75</v>
      </c>
      <c r="L18">
        <v>284.79000000000002</v>
      </c>
      <c r="P18">
        <v>1</v>
      </c>
      <c r="Q18">
        <v>284.79000000000002</v>
      </c>
      <c r="R18" t="s">
        <v>76</v>
      </c>
      <c r="X18" t="s">
        <v>77</v>
      </c>
      <c r="Y18" t="s">
        <v>78</v>
      </c>
    </row>
    <row r="19" spans="1:25" x14ac:dyDescent="0.25">
      <c r="A19">
        <v>1.25120041870202E+19</v>
      </c>
      <c r="B19" t="s">
        <v>71</v>
      </c>
      <c r="C19">
        <v>50202</v>
      </c>
      <c r="D19">
        <v>512</v>
      </c>
      <c r="E19">
        <v>4</v>
      </c>
      <c r="F19" t="s">
        <v>72</v>
      </c>
      <c r="G19">
        <v>172201</v>
      </c>
      <c r="H19" s="1">
        <v>44743</v>
      </c>
      <c r="I19" t="s">
        <v>73</v>
      </c>
      <c r="J19" t="s">
        <v>84</v>
      </c>
      <c r="K19" t="s">
        <v>75</v>
      </c>
      <c r="L19">
        <v>1197</v>
      </c>
      <c r="P19">
        <v>1</v>
      </c>
      <c r="Q19">
        <v>1197</v>
      </c>
      <c r="R19" t="s">
        <v>76</v>
      </c>
      <c r="X19" t="s">
        <v>77</v>
      </c>
      <c r="Y19" t="s">
        <v>78</v>
      </c>
    </row>
    <row r="20" spans="1:25" x14ac:dyDescent="0.25">
      <c r="A20">
        <v>1.2512004188120199E+19</v>
      </c>
      <c r="B20" t="s">
        <v>71</v>
      </c>
      <c r="C20">
        <v>50202</v>
      </c>
      <c r="D20">
        <v>512</v>
      </c>
      <c r="E20">
        <v>4</v>
      </c>
      <c r="F20" t="s">
        <v>72</v>
      </c>
      <c r="G20">
        <v>186491</v>
      </c>
      <c r="H20" s="1">
        <v>44743</v>
      </c>
      <c r="I20" t="s">
        <v>73</v>
      </c>
      <c r="J20" t="s">
        <v>84</v>
      </c>
      <c r="K20" t="s">
        <v>75</v>
      </c>
      <c r="L20">
        <v>310.57</v>
      </c>
      <c r="P20">
        <v>1</v>
      </c>
      <c r="Q20">
        <v>310.57</v>
      </c>
      <c r="R20" t="s">
        <v>76</v>
      </c>
      <c r="X20" t="s">
        <v>77</v>
      </c>
      <c r="Y20" t="s">
        <v>78</v>
      </c>
    </row>
    <row r="21" spans="1:25" x14ac:dyDescent="0.25">
      <c r="A21">
        <v>1.2512005472320201E+19</v>
      </c>
      <c r="B21" t="s">
        <v>71</v>
      </c>
      <c r="C21">
        <v>50202</v>
      </c>
      <c r="D21">
        <v>512</v>
      </c>
      <c r="E21">
        <v>5</v>
      </c>
      <c r="F21" t="s">
        <v>72</v>
      </c>
      <c r="G21">
        <v>271632</v>
      </c>
      <c r="H21" s="1">
        <v>44743</v>
      </c>
      <c r="I21" t="s">
        <v>73</v>
      </c>
      <c r="J21" t="s">
        <v>84</v>
      </c>
      <c r="K21" t="s">
        <v>75</v>
      </c>
      <c r="L21">
        <v>337</v>
      </c>
      <c r="P21">
        <v>1</v>
      </c>
      <c r="Q21">
        <v>337</v>
      </c>
      <c r="R21" t="s">
        <v>76</v>
      </c>
      <c r="X21" t="s">
        <v>85</v>
      </c>
      <c r="Y21" t="s">
        <v>78</v>
      </c>
    </row>
    <row r="22" spans="1:25" x14ac:dyDescent="0.25">
      <c r="A22">
        <v>1.2512005472020199E+19</v>
      </c>
      <c r="B22" t="s">
        <v>71</v>
      </c>
      <c r="C22">
        <v>50202</v>
      </c>
      <c r="D22">
        <v>512</v>
      </c>
      <c r="E22">
        <v>5</v>
      </c>
      <c r="F22" t="s">
        <v>72</v>
      </c>
      <c r="G22">
        <v>279891</v>
      </c>
      <c r="H22" s="1">
        <v>44743</v>
      </c>
      <c r="I22" t="s">
        <v>73</v>
      </c>
      <c r="J22" t="s">
        <v>84</v>
      </c>
      <c r="K22" t="s">
        <v>75</v>
      </c>
      <c r="L22">
        <v>1997</v>
      </c>
      <c r="P22">
        <v>1</v>
      </c>
      <c r="Q22">
        <v>1997</v>
      </c>
      <c r="R22" t="s">
        <v>76</v>
      </c>
      <c r="X22" t="s">
        <v>85</v>
      </c>
      <c r="Y22" t="s">
        <v>78</v>
      </c>
    </row>
    <row r="23" spans="1:25" x14ac:dyDescent="0.25">
      <c r="A23">
        <v>1.2512004188920199E+19</v>
      </c>
      <c r="B23" t="s">
        <v>71</v>
      </c>
      <c r="C23">
        <v>50202</v>
      </c>
      <c r="D23">
        <v>512</v>
      </c>
      <c r="E23">
        <v>4</v>
      </c>
      <c r="F23" t="s">
        <v>72</v>
      </c>
      <c r="G23">
        <v>274604</v>
      </c>
      <c r="H23" s="1">
        <v>44743</v>
      </c>
      <c r="I23" t="s">
        <v>73</v>
      </c>
      <c r="J23" t="s">
        <v>84</v>
      </c>
      <c r="K23" t="s">
        <v>75</v>
      </c>
      <c r="L23">
        <v>1918.91</v>
      </c>
      <c r="P23">
        <v>1</v>
      </c>
      <c r="Q23">
        <v>1918.91</v>
      </c>
      <c r="R23" t="s">
        <v>76</v>
      </c>
      <c r="X23" t="s">
        <v>77</v>
      </c>
      <c r="Y23" t="s">
        <v>78</v>
      </c>
    </row>
    <row r="24" spans="1:25" x14ac:dyDescent="0.25">
      <c r="A24">
        <v>1.2512004189120201E+19</v>
      </c>
      <c r="B24" t="s">
        <v>71</v>
      </c>
      <c r="C24">
        <v>50202</v>
      </c>
      <c r="D24">
        <v>512</v>
      </c>
      <c r="E24">
        <v>4</v>
      </c>
      <c r="F24" t="s">
        <v>72</v>
      </c>
      <c r="G24">
        <v>175820</v>
      </c>
      <c r="H24" s="1">
        <v>44743</v>
      </c>
      <c r="I24" t="s">
        <v>73</v>
      </c>
      <c r="J24" t="s">
        <v>87</v>
      </c>
      <c r="K24" t="s">
        <v>75</v>
      </c>
      <c r="L24">
        <v>6995</v>
      </c>
      <c r="P24">
        <v>1</v>
      </c>
      <c r="Q24">
        <v>6995</v>
      </c>
      <c r="R24" t="s">
        <v>76</v>
      </c>
      <c r="X24" t="s">
        <v>77</v>
      </c>
      <c r="Y24" t="s">
        <v>78</v>
      </c>
    </row>
    <row r="25" spans="1:25" x14ac:dyDescent="0.25">
      <c r="A25">
        <v>1.2512004190620201E+19</v>
      </c>
      <c r="B25" t="s">
        <v>79</v>
      </c>
      <c r="C25">
        <v>50202</v>
      </c>
      <c r="D25">
        <v>512</v>
      </c>
      <c r="E25">
        <v>4</v>
      </c>
      <c r="F25" t="s">
        <v>72</v>
      </c>
      <c r="G25">
        <v>242252</v>
      </c>
      <c r="H25" s="1">
        <v>44743</v>
      </c>
      <c r="I25" t="s">
        <v>73</v>
      </c>
      <c r="J25" t="s">
        <v>84</v>
      </c>
      <c r="K25" t="s">
        <v>75</v>
      </c>
      <c r="L25">
        <v>227</v>
      </c>
      <c r="P25">
        <v>1</v>
      </c>
      <c r="Q25">
        <v>227</v>
      </c>
      <c r="R25" t="s">
        <v>76</v>
      </c>
      <c r="X25" t="s">
        <v>77</v>
      </c>
      <c r="Y25" t="s">
        <v>78</v>
      </c>
    </row>
    <row r="26" spans="1:25" x14ac:dyDescent="0.25">
      <c r="A26">
        <v>1.25120054711202E+19</v>
      </c>
      <c r="B26" t="s">
        <v>79</v>
      </c>
      <c r="C26">
        <v>50202</v>
      </c>
      <c r="D26">
        <v>512</v>
      </c>
      <c r="E26">
        <v>5</v>
      </c>
      <c r="F26" t="s">
        <v>72</v>
      </c>
      <c r="G26">
        <v>193803</v>
      </c>
      <c r="H26" s="1">
        <v>44743</v>
      </c>
      <c r="I26" t="s">
        <v>73</v>
      </c>
      <c r="J26" t="s">
        <v>84</v>
      </c>
      <c r="K26" t="s">
        <v>75</v>
      </c>
      <c r="L26">
        <v>1002</v>
      </c>
      <c r="P26">
        <v>1</v>
      </c>
      <c r="Q26">
        <v>1002</v>
      </c>
      <c r="R26" t="s">
        <v>76</v>
      </c>
      <c r="X26" t="s">
        <v>81</v>
      </c>
      <c r="Y26" t="s">
        <v>78</v>
      </c>
    </row>
    <row r="27" spans="1:25" x14ac:dyDescent="0.25">
      <c r="A27">
        <v>1.2512005472120199E+19</v>
      </c>
      <c r="B27" t="s">
        <v>71</v>
      </c>
      <c r="C27">
        <v>50202</v>
      </c>
      <c r="D27">
        <v>512</v>
      </c>
      <c r="E27">
        <v>5</v>
      </c>
      <c r="F27" t="s">
        <v>72</v>
      </c>
      <c r="G27">
        <v>133134</v>
      </c>
      <c r="H27" s="1">
        <v>44743</v>
      </c>
      <c r="I27" t="s">
        <v>73</v>
      </c>
      <c r="J27" t="s">
        <v>84</v>
      </c>
      <c r="K27" t="s">
        <v>75</v>
      </c>
      <c r="L27">
        <v>8636.15</v>
      </c>
      <c r="P27">
        <v>1</v>
      </c>
      <c r="Q27">
        <v>8636.15</v>
      </c>
      <c r="R27" t="s">
        <v>76</v>
      </c>
      <c r="X27" t="s">
        <v>85</v>
      </c>
      <c r="Y27" t="s">
        <v>78</v>
      </c>
    </row>
    <row r="28" spans="1:25" x14ac:dyDescent="0.25">
      <c r="A28">
        <v>1.2512005470420199E+19</v>
      </c>
      <c r="B28" t="s">
        <v>71</v>
      </c>
      <c r="C28">
        <v>50202</v>
      </c>
      <c r="D28">
        <v>512</v>
      </c>
      <c r="E28">
        <v>5</v>
      </c>
      <c r="F28" t="s">
        <v>72</v>
      </c>
      <c r="G28">
        <v>122992</v>
      </c>
      <c r="H28" s="1">
        <v>44743</v>
      </c>
      <c r="I28" t="s">
        <v>73</v>
      </c>
      <c r="J28" t="s">
        <v>84</v>
      </c>
      <c r="K28" t="s">
        <v>75</v>
      </c>
      <c r="L28">
        <v>940</v>
      </c>
      <c r="P28">
        <v>1</v>
      </c>
      <c r="Q28">
        <v>940</v>
      </c>
      <c r="R28" t="s">
        <v>76</v>
      </c>
      <c r="X28" t="s">
        <v>85</v>
      </c>
      <c r="Y28" t="s">
        <v>78</v>
      </c>
    </row>
    <row r="29" spans="1:25" x14ac:dyDescent="0.25">
      <c r="A29">
        <v>1.2512004191220199E+19</v>
      </c>
      <c r="B29" t="s">
        <v>71</v>
      </c>
      <c r="C29">
        <v>50202</v>
      </c>
      <c r="D29">
        <v>512</v>
      </c>
      <c r="E29">
        <v>4</v>
      </c>
      <c r="F29" t="s">
        <v>72</v>
      </c>
      <c r="G29">
        <v>504928</v>
      </c>
      <c r="H29" s="1">
        <v>44743</v>
      </c>
      <c r="I29" t="s">
        <v>73</v>
      </c>
      <c r="J29" t="s">
        <v>86</v>
      </c>
      <c r="K29" t="s">
        <v>75</v>
      </c>
      <c r="L29">
        <v>20</v>
      </c>
      <c r="P29">
        <v>1</v>
      </c>
      <c r="Q29">
        <v>20</v>
      </c>
      <c r="R29" t="s">
        <v>76</v>
      </c>
      <c r="X29" t="s">
        <v>77</v>
      </c>
      <c r="Y29" t="s">
        <v>78</v>
      </c>
    </row>
    <row r="30" spans="1:25" x14ac:dyDescent="0.25">
      <c r="A30">
        <v>1.2512004187220199E+19</v>
      </c>
      <c r="B30" t="s">
        <v>71</v>
      </c>
      <c r="C30">
        <v>50202</v>
      </c>
      <c r="D30">
        <v>512</v>
      </c>
      <c r="E30">
        <v>4</v>
      </c>
      <c r="F30" t="s">
        <v>72</v>
      </c>
      <c r="G30">
        <v>133648</v>
      </c>
      <c r="H30" s="1">
        <v>44743</v>
      </c>
      <c r="I30" t="s">
        <v>73</v>
      </c>
      <c r="J30" t="s">
        <v>84</v>
      </c>
      <c r="K30" t="s">
        <v>75</v>
      </c>
      <c r="L30">
        <v>248.82</v>
      </c>
      <c r="P30">
        <v>1</v>
      </c>
      <c r="Q30">
        <v>248.82</v>
      </c>
      <c r="R30" t="s">
        <v>76</v>
      </c>
      <c r="X30" t="s">
        <v>77</v>
      </c>
      <c r="Y30" t="s">
        <v>78</v>
      </c>
    </row>
    <row r="31" spans="1:25" x14ac:dyDescent="0.25">
      <c r="A31">
        <v>1.25120054716202E+19</v>
      </c>
      <c r="B31" t="s">
        <v>71</v>
      </c>
      <c r="C31">
        <v>50202</v>
      </c>
      <c r="D31">
        <v>512</v>
      </c>
      <c r="E31">
        <v>5</v>
      </c>
      <c r="F31" t="s">
        <v>72</v>
      </c>
      <c r="G31">
        <v>206109</v>
      </c>
      <c r="H31" s="1">
        <v>44743</v>
      </c>
      <c r="I31" t="s">
        <v>73</v>
      </c>
      <c r="J31" t="s">
        <v>84</v>
      </c>
      <c r="K31" t="s">
        <v>75</v>
      </c>
      <c r="L31">
        <v>77.650000000000006</v>
      </c>
      <c r="P31">
        <v>1</v>
      </c>
      <c r="Q31">
        <v>77.650000000000006</v>
      </c>
      <c r="R31" t="s">
        <v>76</v>
      </c>
      <c r="X31" t="s">
        <v>85</v>
      </c>
      <c r="Y31" t="s">
        <v>78</v>
      </c>
    </row>
    <row r="32" spans="1:25" x14ac:dyDescent="0.25">
      <c r="A32">
        <v>1.2512004186620201E+19</v>
      </c>
      <c r="B32" t="s">
        <v>71</v>
      </c>
      <c r="C32">
        <v>50202</v>
      </c>
      <c r="D32">
        <v>512</v>
      </c>
      <c r="E32">
        <v>4</v>
      </c>
      <c r="F32" t="s">
        <v>72</v>
      </c>
      <c r="G32">
        <v>78729</v>
      </c>
      <c r="H32" s="1">
        <v>44743</v>
      </c>
      <c r="I32" t="s">
        <v>73</v>
      </c>
      <c r="J32" t="s">
        <v>84</v>
      </c>
      <c r="K32" t="s">
        <v>75</v>
      </c>
      <c r="L32">
        <v>1642.3</v>
      </c>
      <c r="P32">
        <v>1</v>
      </c>
      <c r="Q32">
        <v>1642.3</v>
      </c>
      <c r="R32" t="s">
        <v>76</v>
      </c>
      <c r="X32" t="s">
        <v>77</v>
      </c>
      <c r="Y32" t="s">
        <v>78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B88F68-E625-4B59-92F8-C33A87D11C23}">
  <dimension ref="A3:E8"/>
  <sheetViews>
    <sheetView workbookViewId="0"/>
  </sheetViews>
  <sheetFormatPr baseColWidth="10" defaultRowHeight="15" x14ac:dyDescent="0.25"/>
  <cols>
    <col min="1" max="1" width="29.7109375" bestFit="1" customWidth="1"/>
    <col min="2" max="2" width="27.5703125" bestFit="1" customWidth="1"/>
    <col min="3" max="3" width="11" bestFit="1" customWidth="1"/>
    <col min="4" max="4" width="12" bestFit="1" customWidth="1"/>
    <col min="5" max="5" width="12.5703125" bestFit="1" customWidth="1"/>
  </cols>
  <sheetData>
    <row r="3" spans="1:5" x14ac:dyDescent="0.25">
      <c r="A3" s="3" t="s">
        <v>110</v>
      </c>
      <c r="B3" s="3" t="s">
        <v>88</v>
      </c>
    </row>
    <row r="4" spans="1:5" x14ac:dyDescent="0.25">
      <c r="A4" s="3" t="s">
        <v>90</v>
      </c>
      <c r="B4" t="s">
        <v>106</v>
      </c>
      <c r="C4" t="s">
        <v>99</v>
      </c>
      <c r="D4" t="s">
        <v>92</v>
      </c>
      <c r="E4" t="s">
        <v>89</v>
      </c>
    </row>
    <row r="5" spans="1:5" x14ac:dyDescent="0.25">
      <c r="A5" s="4">
        <v>50202</v>
      </c>
      <c r="B5" s="7">
        <v>750</v>
      </c>
      <c r="C5" s="7">
        <v>7178.21</v>
      </c>
      <c r="D5" s="7">
        <v>9852.9399999999987</v>
      </c>
      <c r="E5" s="7">
        <v>17781.149999999998</v>
      </c>
    </row>
    <row r="6" spans="1:5" x14ac:dyDescent="0.25">
      <c r="A6" s="5" t="s">
        <v>72</v>
      </c>
      <c r="B6" s="7">
        <v>750</v>
      </c>
      <c r="C6" s="7">
        <v>7178.21</v>
      </c>
      <c r="D6" s="7">
        <v>9852.9399999999987</v>
      </c>
      <c r="E6" s="7">
        <v>17781.149999999998</v>
      </c>
    </row>
    <row r="7" spans="1:5" x14ac:dyDescent="0.25">
      <c r="A7" s="6" t="s">
        <v>73</v>
      </c>
      <c r="B7" s="7">
        <v>750</v>
      </c>
      <c r="C7" s="7">
        <v>7178.21</v>
      </c>
      <c r="D7" s="7">
        <v>9852.9399999999987</v>
      </c>
      <c r="E7" s="7">
        <v>17781.149999999998</v>
      </c>
    </row>
    <row r="8" spans="1:5" x14ac:dyDescent="0.25">
      <c r="A8" s="4" t="s">
        <v>89</v>
      </c>
      <c r="B8" s="7">
        <v>750</v>
      </c>
      <c r="C8" s="7">
        <v>7178.21</v>
      </c>
      <c r="D8" s="7">
        <v>9852.9399999999987</v>
      </c>
      <c r="E8" s="7">
        <v>17781.149999999998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D65DC0-8059-4D25-BC36-0F0E76037159}">
  <sheetPr codeName="Hoja3"/>
  <dimension ref="A1:AA9"/>
  <sheetViews>
    <sheetView workbookViewId="0">
      <selection sqref="A1:AA9"/>
    </sheetView>
  </sheetViews>
  <sheetFormatPr baseColWidth="10" defaultRowHeight="15" x14ac:dyDescent="0.25"/>
  <cols>
    <col min="4" max="4" width="20.140625" customWidth="1"/>
    <col min="5" max="5" width="15.5703125" customWidth="1"/>
    <col min="7" max="7" width="14.7109375" customWidth="1"/>
    <col min="10" max="10" width="15.7109375" customWidth="1"/>
    <col min="11" max="11" width="17.42578125" customWidth="1"/>
    <col min="12" max="12" width="16.42578125" customWidth="1"/>
    <col min="13" max="13" width="13.7109375" customWidth="1"/>
    <col min="16" max="16" width="13.85546875" customWidth="1"/>
    <col min="17" max="17" width="27.5703125" customWidth="1"/>
    <col min="18" max="18" width="26.5703125" customWidth="1"/>
    <col min="19" max="19" width="18.5703125" customWidth="1"/>
    <col min="20" max="20" width="11.5703125" customWidth="1"/>
    <col min="21" max="21" width="16.28515625" customWidth="1"/>
    <col min="22" max="22" width="12.5703125" customWidth="1"/>
    <col min="24" max="24" width="19.28515625" customWidth="1"/>
    <col min="25" max="25" width="21.42578125" customWidth="1"/>
    <col min="27" max="27" width="16.28515625" customWidth="1"/>
  </cols>
  <sheetData>
    <row r="1" spans="1:27" x14ac:dyDescent="0.25">
      <c r="A1" s="2" t="s">
        <v>25</v>
      </c>
      <c r="B1" s="2" t="s">
        <v>26</v>
      </c>
      <c r="C1" s="2" t="s">
        <v>27</v>
      </c>
      <c r="D1" s="2" t="s">
        <v>28</v>
      </c>
      <c r="E1" s="2" t="s">
        <v>29</v>
      </c>
      <c r="F1" s="2" t="s">
        <v>30</v>
      </c>
      <c r="G1" s="2" t="s">
        <v>31</v>
      </c>
      <c r="H1" s="2" t="s">
        <v>32</v>
      </c>
      <c r="I1" s="2" t="s">
        <v>33</v>
      </c>
      <c r="J1" s="2" t="s">
        <v>34</v>
      </c>
      <c r="K1" s="2" t="s">
        <v>35</v>
      </c>
      <c r="L1" s="2" t="s">
        <v>36</v>
      </c>
      <c r="M1" s="2" t="s">
        <v>37</v>
      </c>
      <c r="N1" s="2" t="s">
        <v>38</v>
      </c>
      <c r="O1" s="2" t="s">
        <v>39</v>
      </c>
      <c r="P1" s="2" t="s">
        <v>40</v>
      </c>
      <c r="Q1" s="2" t="s">
        <v>41</v>
      </c>
      <c r="R1" s="2" t="s">
        <v>42</v>
      </c>
      <c r="S1" s="2" t="s">
        <v>13</v>
      </c>
      <c r="T1" s="2" t="s">
        <v>14</v>
      </c>
      <c r="U1" s="2" t="s">
        <v>43</v>
      </c>
      <c r="V1" s="2" t="s">
        <v>44</v>
      </c>
      <c r="W1" s="2" t="s">
        <v>45</v>
      </c>
      <c r="X1" s="2" t="s">
        <v>46</v>
      </c>
      <c r="Y1" s="2" t="s">
        <v>47</v>
      </c>
      <c r="Z1" s="2" t="s">
        <v>48</v>
      </c>
      <c r="AA1" s="2" t="s">
        <v>49</v>
      </c>
    </row>
    <row r="2" spans="1:27" x14ac:dyDescent="0.25">
      <c r="A2" t="s">
        <v>92</v>
      </c>
      <c r="B2" s="1">
        <v>44743</v>
      </c>
      <c r="C2" t="s">
        <v>93</v>
      </c>
      <c r="D2" s="8" t="s">
        <v>94</v>
      </c>
      <c r="E2">
        <v>50202</v>
      </c>
      <c r="F2">
        <v>12512</v>
      </c>
      <c r="G2" t="s">
        <v>72</v>
      </c>
      <c r="H2">
        <v>5</v>
      </c>
      <c r="I2" t="s">
        <v>76</v>
      </c>
      <c r="J2" t="s">
        <v>73</v>
      </c>
      <c r="K2">
        <v>85443119</v>
      </c>
      <c r="L2" t="s">
        <v>95</v>
      </c>
      <c r="M2" t="s">
        <v>96</v>
      </c>
      <c r="N2" t="s">
        <v>75</v>
      </c>
      <c r="O2">
        <v>2182</v>
      </c>
      <c r="S2">
        <v>2182</v>
      </c>
      <c r="U2">
        <v>1</v>
      </c>
      <c r="V2">
        <v>2182</v>
      </c>
      <c r="Z2" t="s">
        <v>85</v>
      </c>
    </row>
    <row r="3" spans="1:27" x14ac:dyDescent="0.25">
      <c r="A3" t="s">
        <v>92</v>
      </c>
      <c r="B3" s="1">
        <v>44743</v>
      </c>
      <c r="C3" t="s">
        <v>93</v>
      </c>
      <c r="D3" s="8" t="s">
        <v>97</v>
      </c>
      <c r="E3">
        <v>50202</v>
      </c>
      <c r="F3">
        <v>12512</v>
      </c>
      <c r="G3" t="s">
        <v>72</v>
      </c>
      <c r="H3">
        <v>4</v>
      </c>
      <c r="I3" t="s">
        <v>76</v>
      </c>
      <c r="J3" t="s">
        <v>73</v>
      </c>
      <c r="K3">
        <v>85443450</v>
      </c>
      <c r="L3" t="s">
        <v>95</v>
      </c>
      <c r="M3" t="s">
        <v>96</v>
      </c>
      <c r="N3" t="s">
        <v>75</v>
      </c>
      <c r="O3">
        <v>5202.1499999999996</v>
      </c>
      <c r="S3">
        <v>5202.1499999999996</v>
      </c>
      <c r="U3">
        <v>1</v>
      </c>
      <c r="V3">
        <v>5202.1499999999996</v>
      </c>
      <c r="Z3" t="s">
        <v>77</v>
      </c>
    </row>
    <row r="4" spans="1:27" x14ac:dyDescent="0.25">
      <c r="A4" t="s">
        <v>92</v>
      </c>
      <c r="B4" s="1">
        <v>44743</v>
      </c>
      <c r="C4" t="s">
        <v>93</v>
      </c>
      <c r="D4" s="8" t="s">
        <v>98</v>
      </c>
      <c r="E4">
        <v>50202</v>
      </c>
      <c r="F4">
        <v>12512</v>
      </c>
      <c r="G4" t="s">
        <v>72</v>
      </c>
      <c r="H4">
        <v>6</v>
      </c>
      <c r="I4" t="s">
        <v>76</v>
      </c>
      <c r="J4" t="s">
        <v>73</v>
      </c>
      <c r="K4">
        <v>85443132</v>
      </c>
      <c r="L4" t="s">
        <v>95</v>
      </c>
      <c r="M4" t="s">
        <v>96</v>
      </c>
      <c r="N4" t="s">
        <v>75</v>
      </c>
      <c r="O4">
        <v>2468.79</v>
      </c>
      <c r="S4">
        <v>2468.79</v>
      </c>
      <c r="U4">
        <v>1</v>
      </c>
      <c r="V4">
        <v>2468.79</v>
      </c>
      <c r="Z4" t="s">
        <v>81</v>
      </c>
    </row>
    <row r="5" spans="1:27" x14ac:dyDescent="0.25">
      <c r="A5" t="s">
        <v>99</v>
      </c>
      <c r="B5" s="1">
        <v>44743</v>
      </c>
      <c r="C5" t="s">
        <v>93</v>
      </c>
      <c r="D5" s="8" t="s">
        <v>100</v>
      </c>
      <c r="E5">
        <v>50202</v>
      </c>
      <c r="F5">
        <v>12512</v>
      </c>
      <c r="G5" t="s">
        <v>72</v>
      </c>
      <c r="H5">
        <v>6</v>
      </c>
      <c r="I5" t="s">
        <v>101</v>
      </c>
      <c r="J5" t="s">
        <v>73</v>
      </c>
      <c r="K5">
        <v>224401</v>
      </c>
      <c r="L5" t="s">
        <v>102</v>
      </c>
      <c r="M5" t="s">
        <v>96</v>
      </c>
      <c r="N5" t="s">
        <v>75</v>
      </c>
      <c r="O5">
        <v>1587</v>
      </c>
      <c r="P5" t="s">
        <v>73</v>
      </c>
      <c r="Q5">
        <v>224401</v>
      </c>
      <c r="R5" t="s">
        <v>102</v>
      </c>
      <c r="S5">
        <v>1587</v>
      </c>
      <c r="U5">
        <v>1</v>
      </c>
      <c r="V5">
        <v>1587</v>
      </c>
      <c r="W5" t="s">
        <v>103</v>
      </c>
      <c r="X5" t="s">
        <v>104</v>
      </c>
      <c r="Z5" t="s">
        <v>81</v>
      </c>
      <c r="AA5" t="s">
        <v>105</v>
      </c>
    </row>
    <row r="6" spans="1:27" x14ac:dyDescent="0.25">
      <c r="A6" t="s">
        <v>99</v>
      </c>
      <c r="B6" s="1">
        <v>44743</v>
      </c>
      <c r="C6" t="s">
        <v>93</v>
      </c>
      <c r="D6" s="8" t="s">
        <v>98</v>
      </c>
      <c r="E6">
        <v>50202</v>
      </c>
      <c r="F6">
        <v>12512</v>
      </c>
      <c r="G6" t="s">
        <v>72</v>
      </c>
      <c r="H6">
        <v>6</v>
      </c>
      <c r="I6" t="s">
        <v>76</v>
      </c>
      <c r="J6" t="s">
        <v>73</v>
      </c>
      <c r="K6">
        <v>85443146</v>
      </c>
      <c r="L6" t="s">
        <v>102</v>
      </c>
      <c r="M6" t="s">
        <v>96</v>
      </c>
      <c r="N6" t="s">
        <v>75</v>
      </c>
      <c r="O6">
        <v>2667</v>
      </c>
      <c r="S6">
        <v>2667</v>
      </c>
      <c r="U6">
        <v>1</v>
      </c>
      <c r="V6">
        <v>2667</v>
      </c>
      <c r="Z6" t="s">
        <v>81</v>
      </c>
    </row>
    <row r="7" spans="1:27" x14ac:dyDescent="0.25">
      <c r="A7" t="s">
        <v>99</v>
      </c>
      <c r="B7" s="1">
        <v>44743</v>
      </c>
      <c r="C7" t="s">
        <v>93</v>
      </c>
      <c r="D7" s="8" t="s">
        <v>98</v>
      </c>
      <c r="E7">
        <v>50202</v>
      </c>
      <c r="F7">
        <v>12512</v>
      </c>
      <c r="G7" t="s">
        <v>72</v>
      </c>
      <c r="H7">
        <v>6</v>
      </c>
      <c r="I7" t="s">
        <v>76</v>
      </c>
      <c r="J7" t="s">
        <v>73</v>
      </c>
      <c r="K7">
        <v>85443131</v>
      </c>
      <c r="L7" t="s">
        <v>102</v>
      </c>
      <c r="M7" t="s">
        <v>96</v>
      </c>
      <c r="N7" t="s">
        <v>75</v>
      </c>
      <c r="O7">
        <v>2924.21</v>
      </c>
      <c r="S7">
        <v>2924.21</v>
      </c>
      <c r="U7">
        <v>1</v>
      </c>
      <c r="V7">
        <v>2924.21</v>
      </c>
      <c r="Z7" t="s">
        <v>81</v>
      </c>
    </row>
    <row r="8" spans="1:27" x14ac:dyDescent="0.25">
      <c r="A8" t="s">
        <v>106</v>
      </c>
      <c r="B8" s="1">
        <v>44743</v>
      </c>
      <c r="C8" t="s">
        <v>93</v>
      </c>
      <c r="D8" s="8" t="s">
        <v>94</v>
      </c>
      <c r="E8">
        <v>50202</v>
      </c>
      <c r="F8">
        <v>12512</v>
      </c>
      <c r="G8" t="s">
        <v>72</v>
      </c>
      <c r="H8">
        <v>5</v>
      </c>
      <c r="I8" t="s">
        <v>107</v>
      </c>
      <c r="J8" t="s">
        <v>73</v>
      </c>
      <c r="K8">
        <v>9094361</v>
      </c>
      <c r="L8" t="s">
        <v>108</v>
      </c>
      <c r="M8" t="s">
        <v>109</v>
      </c>
      <c r="N8" t="s">
        <v>75</v>
      </c>
      <c r="O8">
        <v>450</v>
      </c>
      <c r="S8">
        <v>450</v>
      </c>
      <c r="U8">
        <v>1</v>
      </c>
      <c r="V8">
        <v>450</v>
      </c>
      <c r="Z8" t="s">
        <v>85</v>
      </c>
    </row>
    <row r="9" spans="1:27" x14ac:dyDescent="0.25">
      <c r="A9" t="s">
        <v>106</v>
      </c>
      <c r="B9" s="1">
        <v>44743</v>
      </c>
      <c r="C9" t="s">
        <v>93</v>
      </c>
      <c r="D9" s="8" t="s">
        <v>98</v>
      </c>
      <c r="E9">
        <v>50202</v>
      </c>
      <c r="F9">
        <v>12512</v>
      </c>
      <c r="G9" t="s">
        <v>72</v>
      </c>
      <c r="H9">
        <v>6</v>
      </c>
      <c r="I9" t="s">
        <v>107</v>
      </c>
      <c r="J9" t="s">
        <v>73</v>
      </c>
      <c r="K9">
        <v>9094353</v>
      </c>
      <c r="L9" t="s">
        <v>108</v>
      </c>
      <c r="M9" t="s">
        <v>109</v>
      </c>
      <c r="N9" t="s">
        <v>75</v>
      </c>
      <c r="O9">
        <v>300</v>
      </c>
      <c r="S9">
        <v>300</v>
      </c>
      <c r="U9">
        <v>1</v>
      </c>
      <c r="V9">
        <v>300</v>
      </c>
      <c r="Z9" t="s">
        <v>81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044B30-DF99-4395-9B4D-56D09402BBFA}">
  <dimension ref="A3:M12"/>
  <sheetViews>
    <sheetView workbookViewId="0"/>
  </sheetViews>
  <sheetFormatPr baseColWidth="10" defaultRowHeight="15" x14ac:dyDescent="0.25"/>
  <cols>
    <col min="1" max="1" width="31.28515625" bestFit="1" customWidth="1"/>
    <col min="2" max="2" width="22.42578125" bestFit="1" customWidth="1"/>
    <col min="3" max="3" width="8.140625" bestFit="1" customWidth="1"/>
    <col min="4" max="4" width="16.42578125" bestFit="1" customWidth="1"/>
    <col min="5" max="5" width="20.140625" bestFit="1" customWidth="1"/>
    <col min="6" max="12" width="21" bestFit="1" customWidth="1"/>
    <col min="13" max="13" width="12.5703125" bestFit="1" customWidth="1"/>
  </cols>
  <sheetData>
    <row r="3" spans="1:13" x14ac:dyDescent="0.25">
      <c r="A3" s="3" t="s">
        <v>91</v>
      </c>
      <c r="F3" s="3" t="s">
        <v>63</v>
      </c>
    </row>
    <row r="4" spans="1:13" x14ac:dyDescent="0.25">
      <c r="A4" s="3" t="s">
        <v>51</v>
      </c>
      <c r="B4" s="3" t="s">
        <v>52</v>
      </c>
      <c r="C4" s="3" t="s">
        <v>54</v>
      </c>
      <c r="D4" s="3" t="s">
        <v>62</v>
      </c>
      <c r="E4" s="3" t="s">
        <v>64</v>
      </c>
      <c r="F4" t="s">
        <v>192</v>
      </c>
      <c r="G4" t="s">
        <v>130</v>
      </c>
      <c r="H4" t="s">
        <v>220</v>
      </c>
      <c r="I4" t="s">
        <v>161</v>
      </c>
      <c r="J4" t="s">
        <v>117</v>
      </c>
      <c r="K4" t="s">
        <v>211</v>
      </c>
      <c r="L4" t="s">
        <v>187</v>
      </c>
      <c r="M4" t="s">
        <v>89</v>
      </c>
    </row>
    <row r="5" spans="1:13" x14ac:dyDescent="0.25">
      <c r="A5" t="s">
        <v>112</v>
      </c>
      <c r="B5">
        <v>50202</v>
      </c>
      <c r="C5" s="9">
        <v>44771</v>
      </c>
      <c r="D5" t="s">
        <v>124</v>
      </c>
      <c r="E5" t="s">
        <v>234</v>
      </c>
      <c r="F5" s="7">
        <v>2667</v>
      </c>
      <c r="G5" s="7">
        <v>15885.35</v>
      </c>
      <c r="H5" s="7"/>
      <c r="I5" s="7">
        <v>2887</v>
      </c>
      <c r="J5" s="7">
        <v>32100.750000000004</v>
      </c>
      <c r="K5" s="7">
        <v>1587</v>
      </c>
      <c r="L5" s="7">
        <v>999</v>
      </c>
      <c r="M5" s="7">
        <v>56126.100000000006</v>
      </c>
    </row>
    <row r="6" spans="1:13" x14ac:dyDescent="0.25">
      <c r="A6" t="s">
        <v>112</v>
      </c>
      <c r="B6">
        <v>50202</v>
      </c>
      <c r="C6" s="9">
        <v>44771</v>
      </c>
      <c r="D6" t="s">
        <v>235</v>
      </c>
      <c r="F6" s="7">
        <v>2667</v>
      </c>
      <c r="G6" s="7">
        <v>15885.35</v>
      </c>
      <c r="H6" s="7"/>
      <c r="I6" s="7">
        <v>2887</v>
      </c>
      <c r="J6" s="7">
        <v>32100.750000000004</v>
      </c>
      <c r="K6" s="7">
        <v>1587</v>
      </c>
      <c r="L6" s="7">
        <v>999</v>
      </c>
      <c r="M6" s="7">
        <v>56126.100000000006</v>
      </c>
    </row>
    <row r="7" spans="1:13" x14ac:dyDescent="0.25">
      <c r="A7" t="s">
        <v>112</v>
      </c>
      <c r="B7">
        <v>50202</v>
      </c>
      <c r="C7" s="9">
        <v>44771</v>
      </c>
      <c r="D7" t="s">
        <v>116</v>
      </c>
      <c r="E7" t="s">
        <v>234</v>
      </c>
      <c r="F7" s="7"/>
      <c r="G7" s="7">
        <v>462.2</v>
      </c>
      <c r="H7" s="7">
        <v>298</v>
      </c>
      <c r="I7" s="7"/>
      <c r="J7" s="7">
        <v>1289</v>
      </c>
      <c r="K7" s="7"/>
      <c r="L7" s="7"/>
      <c r="M7" s="7">
        <v>2049.1999999999998</v>
      </c>
    </row>
    <row r="8" spans="1:13" x14ac:dyDescent="0.25">
      <c r="A8" t="s">
        <v>112</v>
      </c>
      <c r="B8">
        <v>50202</v>
      </c>
      <c r="C8" s="9">
        <v>44771</v>
      </c>
      <c r="D8" t="s">
        <v>236</v>
      </c>
      <c r="F8" s="7"/>
      <c r="G8" s="7">
        <v>462.2</v>
      </c>
      <c r="H8" s="7">
        <v>298</v>
      </c>
      <c r="I8" s="7"/>
      <c r="J8" s="7">
        <v>1289</v>
      </c>
      <c r="K8" s="7"/>
      <c r="L8" s="7"/>
      <c r="M8" s="7">
        <v>2049.1999999999998</v>
      </c>
    </row>
    <row r="9" spans="1:13" x14ac:dyDescent="0.25">
      <c r="A9" t="s">
        <v>112</v>
      </c>
      <c r="B9">
        <v>50202</v>
      </c>
      <c r="C9" s="9" t="s">
        <v>237</v>
      </c>
      <c r="F9" s="7">
        <v>2667</v>
      </c>
      <c r="G9" s="7">
        <v>16347.550000000001</v>
      </c>
      <c r="H9" s="7">
        <v>298</v>
      </c>
      <c r="I9" s="7">
        <v>2887</v>
      </c>
      <c r="J9" s="7">
        <v>33389.75</v>
      </c>
      <c r="K9" s="7">
        <v>1587</v>
      </c>
      <c r="L9" s="7">
        <v>999</v>
      </c>
      <c r="M9" s="7">
        <v>58175.3</v>
      </c>
    </row>
    <row r="10" spans="1:13" x14ac:dyDescent="0.25">
      <c r="A10" t="s">
        <v>112</v>
      </c>
      <c r="B10" t="s">
        <v>238</v>
      </c>
      <c r="F10" s="7">
        <v>2667</v>
      </c>
      <c r="G10" s="7">
        <v>16347.550000000001</v>
      </c>
      <c r="H10" s="7">
        <v>298</v>
      </c>
      <c r="I10" s="7">
        <v>2887</v>
      </c>
      <c r="J10" s="7">
        <v>33389.75</v>
      </c>
      <c r="K10" s="7">
        <v>1587</v>
      </c>
      <c r="L10" s="7">
        <v>999</v>
      </c>
      <c r="M10" s="7">
        <v>58175.3</v>
      </c>
    </row>
    <row r="11" spans="1:13" x14ac:dyDescent="0.25">
      <c r="A11" t="s">
        <v>239</v>
      </c>
      <c r="F11" s="7">
        <v>2667</v>
      </c>
      <c r="G11" s="7">
        <v>16347.550000000001</v>
      </c>
      <c r="H11" s="7">
        <v>298</v>
      </c>
      <c r="I11" s="7">
        <v>2887</v>
      </c>
      <c r="J11" s="7">
        <v>33389.75</v>
      </c>
      <c r="K11" s="7">
        <v>1587</v>
      </c>
      <c r="L11" s="7">
        <v>999</v>
      </c>
      <c r="M11" s="7">
        <v>58175.3</v>
      </c>
    </row>
    <row r="12" spans="1:13" x14ac:dyDescent="0.25">
      <c r="A12" t="s">
        <v>89</v>
      </c>
      <c r="F12" s="7">
        <v>2667</v>
      </c>
      <c r="G12" s="7">
        <v>16347.550000000001</v>
      </c>
      <c r="H12" s="7">
        <v>298</v>
      </c>
      <c r="I12" s="7">
        <v>2887</v>
      </c>
      <c r="J12" s="7">
        <v>33389.75</v>
      </c>
      <c r="K12" s="7">
        <v>1587</v>
      </c>
      <c r="L12" s="7">
        <v>999</v>
      </c>
      <c r="M12" s="7">
        <v>58175.3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DAEBB4-F936-40FB-9D8F-9C51A336BC9A}">
  <sheetPr codeName="Hoja5"/>
  <dimension ref="A1:V32"/>
  <sheetViews>
    <sheetView workbookViewId="0">
      <selection sqref="A1:V32"/>
    </sheetView>
  </sheetViews>
  <sheetFormatPr baseColWidth="10" defaultRowHeight="15" x14ac:dyDescent="0.25"/>
  <cols>
    <col min="5" max="5" width="21.7109375" customWidth="1"/>
    <col min="6" max="6" width="20.140625" customWidth="1"/>
    <col min="7" max="7" width="21" customWidth="1"/>
    <col min="8" max="8" width="35.28515625" customWidth="1"/>
    <col min="9" max="9" width="39.85546875" customWidth="1"/>
    <col min="10" max="10" width="17.7109375" customWidth="1"/>
    <col min="11" max="11" width="23" customWidth="1"/>
    <col min="12" max="12" width="19" customWidth="1"/>
    <col min="13" max="13" width="22.42578125" customWidth="1"/>
    <col min="14" max="14" width="17.7109375" customWidth="1"/>
    <col min="15" max="15" width="19.7109375" customWidth="1"/>
    <col min="17" max="17" width="18.42578125" customWidth="1"/>
    <col min="18" max="18" width="15.28515625" customWidth="1"/>
    <col min="19" max="19" width="18.28515625" customWidth="1"/>
    <col min="21" max="21" width="16.42578125" customWidth="1"/>
    <col min="22" max="22" width="13.85546875" customWidth="1"/>
  </cols>
  <sheetData>
    <row r="1" spans="1:22" x14ac:dyDescent="0.25">
      <c r="A1" s="2" t="s">
        <v>50</v>
      </c>
      <c r="B1" s="2" t="s">
        <v>51</v>
      </c>
      <c r="C1" s="2" t="s">
        <v>52</v>
      </c>
      <c r="D1" s="2" t="s">
        <v>53</v>
      </c>
      <c r="E1" s="2" t="s">
        <v>54</v>
      </c>
      <c r="F1" s="2" t="s">
        <v>55</v>
      </c>
      <c r="G1" s="2" t="s">
        <v>56</v>
      </c>
      <c r="H1" s="2" t="s">
        <v>57</v>
      </c>
      <c r="I1" s="2" t="s">
        <v>58</v>
      </c>
      <c r="J1" s="2" t="s">
        <v>59</v>
      </c>
      <c r="K1" s="2" t="s">
        <v>60</v>
      </c>
      <c r="L1" s="2" t="s">
        <v>61</v>
      </c>
      <c r="M1" s="2" t="s">
        <v>62</v>
      </c>
      <c r="N1" s="2" t="s">
        <v>63</v>
      </c>
      <c r="O1" s="2" t="s">
        <v>64</v>
      </c>
      <c r="P1" s="2" t="s">
        <v>11</v>
      </c>
      <c r="Q1" s="2" t="s">
        <v>65</v>
      </c>
      <c r="R1" s="2" t="s">
        <v>66</v>
      </c>
      <c r="S1" s="2" t="s">
        <v>67</v>
      </c>
      <c r="T1" s="2" t="s">
        <v>68</v>
      </c>
      <c r="U1" s="2" t="s">
        <v>69</v>
      </c>
      <c r="V1" s="2" t="s">
        <v>70</v>
      </c>
    </row>
    <row r="2" spans="1:22" x14ac:dyDescent="0.25">
      <c r="A2" t="s">
        <v>111</v>
      </c>
      <c r="B2" t="s">
        <v>112</v>
      </c>
      <c r="C2">
        <v>50202</v>
      </c>
      <c r="D2">
        <v>4</v>
      </c>
      <c r="E2" s="9">
        <v>44771</v>
      </c>
      <c r="F2">
        <v>1912</v>
      </c>
      <c r="G2" s="8" t="s">
        <v>113</v>
      </c>
      <c r="J2" s="8" t="s">
        <v>114</v>
      </c>
      <c r="L2" t="s">
        <v>115</v>
      </c>
      <c r="M2" t="s">
        <v>116</v>
      </c>
      <c r="N2" t="s">
        <v>117</v>
      </c>
      <c r="P2">
        <v>20</v>
      </c>
      <c r="Q2" s="8" t="s">
        <v>118</v>
      </c>
      <c r="R2" s="8" t="s">
        <v>118</v>
      </c>
      <c r="S2" t="s">
        <v>119</v>
      </c>
      <c r="T2" t="s">
        <v>120</v>
      </c>
      <c r="V2" t="s">
        <v>121</v>
      </c>
    </row>
    <row r="3" spans="1:22" x14ac:dyDescent="0.25">
      <c r="A3" t="s">
        <v>111</v>
      </c>
      <c r="B3" t="s">
        <v>112</v>
      </c>
      <c r="C3">
        <v>50202</v>
      </c>
      <c r="D3">
        <v>5</v>
      </c>
      <c r="E3" s="9">
        <v>44771</v>
      </c>
      <c r="F3">
        <v>4721</v>
      </c>
      <c r="G3" s="8" t="s">
        <v>122</v>
      </c>
      <c r="J3" s="8" t="s">
        <v>123</v>
      </c>
      <c r="L3" t="s">
        <v>115</v>
      </c>
      <c r="M3" t="s">
        <v>124</v>
      </c>
      <c r="N3" t="s">
        <v>117</v>
      </c>
      <c r="P3">
        <v>8636.15</v>
      </c>
      <c r="Q3" s="8" t="s">
        <v>125</v>
      </c>
      <c r="R3" s="8" t="s">
        <v>118</v>
      </c>
      <c r="S3" t="s">
        <v>126</v>
      </c>
      <c r="T3" t="s">
        <v>120</v>
      </c>
      <c r="V3" t="s">
        <v>127</v>
      </c>
    </row>
    <row r="4" spans="1:22" x14ac:dyDescent="0.25">
      <c r="A4" t="s">
        <v>111</v>
      </c>
      <c r="B4" t="s">
        <v>112</v>
      </c>
      <c r="C4">
        <v>50202</v>
      </c>
      <c r="D4">
        <v>4</v>
      </c>
      <c r="E4" s="9">
        <v>44771</v>
      </c>
      <c r="F4">
        <v>1887</v>
      </c>
      <c r="G4" s="8" t="s">
        <v>128</v>
      </c>
      <c r="J4" s="8" t="s">
        <v>129</v>
      </c>
      <c r="L4" t="s">
        <v>115</v>
      </c>
      <c r="M4" t="s">
        <v>116</v>
      </c>
      <c r="N4" t="s">
        <v>130</v>
      </c>
      <c r="P4">
        <v>95.2</v>
      </c>
      <c r="Q4" s="8" t="s">
        <v>118</v>
      </c>
      <c r="R4" s="8" t="s">
        <v>118</v>
      </c>
    </row>
    <row r="5" spans="1:22" x14ac:dyDescent="0.25">
      <c r="A5" t="s">
        <v>111</v>
      </c>
      <c r="B5" t="s">
        <v>112</v>
      </c>
      <c r="C5">
        <v>50202</v>
      </c>
      <c r="D5">
        <v>6</v>
      </c>
      <c r="E5" s="9">
        <v>44771</v>
      </c>
      <c r="F5">
        <v>643</v>
      </c>
      <c r="G5" s="8" t="s">
        <v>131</v>
      </c>
      <c r="J5" s="8" t="s">
        <v>132</v>
      </c>
      <c r="L5" t="s">
        <v>115</v>
      </c>
      <c r="M5" t="s">
        <v>124</v>
      </c>
      <c r="N5" t="s">
        <v>130</v>
      </c>
      <c r="P5">
        <v>1977</v>
      </c>
      <c r="Q5" s="8" t="s">
        <v>133</v>
      </c>
      <c r="R5" s="8" t="s">
        <v>118</v>
      </c>
      <c r="S5" t="s">
        <v>134</v>
      </c>
    </row>
    <row r="6" spans="1:22" x14ac:dyDescent="0.25">
      <c r="A6" t="s">
        <v>111</v>
      </c>
      <c r="B6" t="s">
        <v>112</v>
      </c>
      <c r="C6">
        <v>50202</v>
      </c>
      <c r="D6">
        <v>4</v>
      </c>
      <c r="E6" s="9">
        <v>44771</v>
      </c>
      <c r="F6">
        <v>1898</v>
      </c>
      <c r="G6" s="8" t="s">
        <v>135</v>
      </c>
      <c r="J6" s="8" t="s">
        <v>136</v>
      </c>
      <c r="L6" t="s">
        <v>115</v>
      </c>
      <c r="M6" t="s">
        <v>124</v>
      </c>
      <c r="N6" t="s">
        <v>117</v>
      </c>
      <c r="P6">
        <v>997</v>
      </c>
      <c r="Q6" s="8" t="s">
        <v>137</v>
      </c>
      <c r="R6" s="8" t="s">
        <v>118</v>
      </c>
      <c r="S6" t="s">
        <v>138</v>
      </c>
      <c r="T6" t="s">
        <v>139</v>
      </c>
      <c r="V6" t="s">
        <v>140</v>
      </c>
    </row>
    <row r="7" spans="1:22" x14ac:dyDescent="0.25">
      <c r="A7" t="s">
        <v>111</v>
      </c>
      <c r="B7" t="s">
        <v>112</v>
      </c>
      <c r="C7">
        <v>50202</v>
      </c>
      <c r="D7">
        <v>4</v>
      </c>
      <c r="E7" s="9">
        <v>44771</v>
      </c>
      <c r="F7">
        <v>1913</v>
      </c>
      <c r="G7" s="8" t="s">
        <v>141</v>
      </c>
      <c r="J7" s="8" t="s">
        <v>142</v>
      </c>
      <c r="L7" t="s">
        <v>115</v>
      </c>
      <c r="M7" t="s">
        <v>116</v>
      </c>
      <c r="N7" t="s">
        <v>117</v>
      </c>
      <c r="P7">
        <v>20</v>
      </c>
      <c r="Q7" s="8" t="s">
        <v>118</v>
      </c>
      <c r="R7" s="8" t="s">
        <v>118</v>
      </c>
      <c r="S7" t="s">
        <v>143</v>
      </c>
      <c r="T7" t="s">
        <v>120</v>
      </c>
      <c r="V7" t="s">
        <v>144</v>
      </c>
    </row>
    <row r="8" spans="1:22" x14ac:dyDescent="0.25">
      <c r="A8" t="s">
        <v>111</v>
      </c>
      <c r="B8" t="s">
        <v>112</v>
      </c>
      <c r="C8">
        <v>50202</v>
      </c>
      <c r="D8">
        <v>4</v>
      </c>
      <c r="E8" s="9">
        <v>44771</v>
      </c>
      <c r="F8">
        <v>1915</v>
      </c>
      <c r="G8" s="8" t="s">
        <v>145</v>
      </c>
      <c r="J8" s="8" t="s">
        <v>146</v>
      </c>
      <c r="L8" t="s">
        <v>115</v>
      </c>
      <c r="M8" t="s">
        <v>116</v>
      </c>
      <c r="N8" t="s">
        <v>117</v>
      </c>
      <c r="P8">
        <v>20</v>
      </c>
      <c r="Q8" s="8" t="s">
        <v>118</v>
      </c>
      <c r="R8" s="8" t="s">
        <v>118</v>
      </c>
      <c r="S8" t="s">
        <v>147</v>
      </c>
      <c r="T8" t="s">
        <v>120</v>
      </c>
      <c r="V8" t="s">
        <v>148</v>
      </c>
    </row>
    <row r="9" spans="1:22" x14ac:dyDescent="0.25">
      <c r="A9" t="s">
        <v>111</v>
      </c>
      <c r="B9" t="s">
        <v>112</v>
      </c>
      <c r="C9">
        <v>50202</v>
      </c>
      <c r="D9">
        <v>4</v>
      </c>
      <c r="E9" s="9">
        <v>44771</v>
      </c>
      <c r="F9">
        <v>1870</v>
      </c>
      <c r="G9" s="8" t="s">
        <v>149</v>
      </c>
      <c r="J9" s="8" t="s">
        <v>150</v>
      </c>
      <c r="L9" t="s">
        <v>115</v>
      </c>
      <c r="M9" t="s">
        <v>124</v>
      </c>
      <c r="N9" t="s">
        <v>117</v>
      </c>
      <c r="P9">
        <v>1197</v>
      </c>
      <c r="Q9" s="8" t="s">
        <v>151</v>
      </c>
      <c r="R9" s="8" t="s">
        <v>118</v>
      </c>
      <c r="S9" t="s">
        <v>152</v>
      </c>
      <c r="T9" t="s">
        <v>153</v>
      </c>
      <c r="V9" t="s">
        <v>127</v>
      </c>
    </row>
    <row r="10" spans="1:22" x14ac:dyDescent="0.25">
      <c r="A10" t="s">
        <v>111</v>
      </c>
      <c r="B10" t="s">
        <v>112</v>
      </c>
      <c r="C10">
        <v>50202</v>
      </c>
      <c r="D10">
        <v>4</v>
      </c>
      <c r="E10" s="9">
        <v>44771</v>
      </c>
      <c r="F10">
        <v>1911</v>
      </c>
      <c r="G10" s="8" t="s">
        <v>154</v>
      </c>
      <c r="J10" s="8" t="s">
        <v>155</v>
      </c>
      <c r="L10" t="s">
        <v>115</v>
      </c>
      <c r="M10" t="s">
        <v>124</v>
      </c>
      <c r="N10" t="s">
        <v>117</v>
      </c>
      <c r="P10">
        <v>2997</v>
      </c>
      <c r="Q10" s="8" t="s">
        <v>156</v>
      </c>
      <c r="R10" s="8" t="s">
        <v>118</v>
      </c>
      <c r="S10" t="s">
        <v>143</v>
      </c>
      <c r="T10" t="s">
        <v>120</v>
      </c>
      <c r="V10" t="s">
        <v>144</v>
      </c>
    </row>
    <row r="11" spans="1:22" x14ac:dyDescent="0.25">
      <c r="A11" t="s">
        <v>111</v>
      </c>
      <c r="B11" t="s">
        <v>112</v>
      </c>
      <c r="C11">
        <v>50202</v>
      </c>
      <c r="D11">
        <v>5</v>
      </c>
      <c r="E11" s="9">
        <v>44771</v>
      </c>
      <c r="F11">
        <v>4709</v>
      </c>
      <c r="G11" s="8" t="s">
        <v>157</v>
      </c>
      <c r="J11" s="8" t="s">
        <v>158</v>
      </c>
      <c r="L11" t="s">
        <v>115</v>
      </c>
      <c r="M11" t="s">
        <v>124</v>
      </c>
      <c r="N11" t="s">
        <v>130</v>
      </c>
      <c r="P11">
        <v>5597</v>
      </c>
      <c r="Q11" s="8" t="s">
        <v>159</v>
      </c>
      <c r="R11" s="8" t="s">
        <v>118</v>
      </c>
      <c r="S11" t="s">
        <v>160</v>
      </c>
    </row>
    <row r="12" spans="1:22" x14ac:dyDescent="0.25">
      <c r="A12" t="s">
        <v>111</v>
      </c>
      <c r="B12" t="s">
        <v>112</v>
      </c>
      <c r="C12">
        <v>50202</v>
      </c>
      <c r="D12">
        <v>5</v>
      </c>
      <c r="E12" s="9">
        <v>44771</v>
      </c>
      <c r="F12">
        <v>4721</v>
      </c>
      <c r="G12" s="8" t="s">
        <v>122</v>
      </c>
      <c r="J12" s="8" t="s">
        <v>123</v>
      </c>
      <c r="L12" t="s">
        <v>115</v>
      </c>
      <c r="M12" t="s">
        <v>124</v>
      </c>
      <c r="N12" t="s">
        <v>161</v>
      </c>
      <c r="P12">
        <v>2887</v>
      </c>
      <c r="Q12" s="8" t="s">
        <v>125</v>
      </c>
      <c r="R12" s="8" t="s">
        <v>118</v>
      </c>
      <c r="S12" t="s">
        <v>126</v>
      </c>
    </row>
    <row r="13" spans="1:22" x14ac:dyDescent="0.25">
      <c r="A13" t="s">
        <v>111</v>
      </c>
      <c r="B13" t="s">
        <v>112</v>
      </c>
      <c r="C13">
        <v>50202</v>
      </c>
      <c r="D13">
        <v>4</v>
      </c>
      <c r="E13" s="9">
        <v>44771</v>
      </c>
      <c r="F13">
        <v>1902</v>
      </c>
      <c r="G13" s="8" t="s">
        <v>162</v>
      </c>
      <c r="J13" s="8" t="s">
        <v>163</v>
      </c>
      <c r="L13" t="s">
        <v>115</v>
      </c>
      <c r="M13" t="s">
        <v>116</v>
      </c>
      <c r="N13" t="s">
        <v>130</v>
      </c>
      <c r="P13">
        <v>10</v>
      </c>
      <c r="Q13" s="8" t="s">
        <v>118</v>
      </c>
      <c r="R13" s="8" t="s">
        <v>118</v>
      </c>
    </row>
    <row r="14" spans="1:22" x14ac:dyDescent="0.25">
      <c r="A14" t="s">
        <v>111</v>
      </c>
      <c r="B14" t="s">
        <v>112</v>
      </c>
      <c r="C14">
        <v>50202</v>
      </c>
      <c r="D14">
        <v>4</v>
      </c>
      <c r="E14" s="9">
        <v>44771</v>
      </c>
      <c r="F14">
        <v>1891</v>
      </c>
      <c r="G14" s="8" t="s">
        <v>164</v>
      </c>
      <c r="J14" s="8" t="s">
        <v>165</v>
      </c>
      <c r="L14" t="s">
        <v>115</v>
      </c>
      <c r="M14" t="s">
        <v>124</v>
      </c>
      <c r="N14" t="s">
        <v>117</v>
      </c>
      <c r="P14">
        <v>6995</v>
      </c>
      <c r="Q14" s="8" t="s">
        <v>166</v>
      </c>
      <c r="R14" s="8" t="s">
        <v>118</v>
      </c>
      <c r="S14" t="s">
        <v>167</v>
      </c>
      <c r="T14" t="s">
        <v>120</v>
      </c>
      <c r="V14" t="s">
        <v>168</v>
      </c>
    </row>
    <row r="15" spans="1:22" x14ac:dyDescent="0.25">
      <c r="A15" t="s">
        <v>111</v>
      </c>
      <c r="B15" t="s">
        <v>112</v>
      </c>
      <c r="C15">
        <v>50202</v>
      </c>
      <c r="D15">
        <v>5</v>
      </c>
      <c r="E15" s="9">
        <v>44771</v>
      </c>
      <c r="F15">
        <v>4711</v>
      </c>
      <c r="G15" s="8" t="s">
        <v>169</v>
      </c>
      <c r="J15" s="8" t="s">
        <v>170</v>
      </c>
      <c r="L15" t="s">
        <v>115</v>
      </c>
      <c r="M15" t="s">
        <v>116</v>
      </c>
      <c r="N15" t="s">
        <v>117</v>
      </c>
      <c r="P15">
        <v>1002</v>
      </c>
      <c r="Q15" s="8" t="s">
        <v>118</v>
      </c>
      <c r="R15" s="8" t="s">
        <v>118</v>
      </c>
      <c r="S15" t="s">
        <v>171</v>
      </c>
      <c r="T15" t="s">
        <v>172</v>
      </c>
      <c r="V15" t="s">
        <v>127</v>
      </c>
    </row>
    <row r="16" spans="1:22" x14ac:dyDescent="0.25">
      <c r="A16" t="s">
        <v>111</v>
      </c>
      <c r="B16" t="s">
        <v>112</v>
      </c>
      <c r="C16">
        <v>50202</v>
      </c>
      <c r="D16">
        <v>6</v>
      </c>
      <c r="E16" s="9">
        <v>44771</v>
      </c>
      <c r="F16">
        <v>625</v>
      </c>
      <c r="G16" s="8" t="s">
        <v>173</v>
      </c>
      <c r="J16" s="8" t="s">
        <v>174</v>
      </c>
      <c r="L16" t="s">
        <v>115</v>
      </c>
      <c r="M16" t="s">
        <v>124</v>
      </c>
      <c r="N16" t="s">
        <v>130</v>
      </c>
      <c r="P16">
        <v>479</v>
      </c>
      <c r="Q16" s="8" t="s">
        <v>175</v>
      </c>
      <c r="R16" s="8" t="s">
        <v>118</v>
      </c>
      <c r="S16" t="s">
        <v>176</v>
      </c>
    </row>
    <row r="17" spans="1:22" x14ac:dyDescent="0.25">
      <c r="A17" t="s">
        <v>111</v>
      </c>
      <c r="B17" t="s">
        <v>112</v>
      </c>
      <c r="C17">
        <v>50202</v>
      </c>
      <c r="D17">
        <v>4</v>
      </c>
      <c r="E17" s="9">
        <v>44771</v>
      </c>
      <c r="F17">
        <v>1883</v>
      </c>
      <c r="G17" s="8" t="s">
        <v>177</v>
      </c>
      <c r="J17" s="8" t="s">
        <v>178</v>
      </c>
      <c r="L17" t="s">
        <v>115</v>
      </c>
      <c r="M17" t="s">
        <v>124</v>
      </c>
      <c r="N17" t="s">
        <v>117</v>
      </c>
      <c r="P17">
        <v>3799</v>
      </c>
      <c r="Q17" s="8" t="s">
        <v>179</v>
      </c>
      <c r="R17" s="8" t="s">
        <v>118</v>
      </c>
      <c r="S17" t="s">
        <v>180</v>
      </c>
      <c r="T17" t="s">
        <v>181</v>
      </c>
      <c r="V17" t="s">
        <v>127</v>
      </c>
    </row>
    <row r="18" spans="1:22" x14ac:dyDescent="0.25">
      <c r="A18" t="s">
        <v>111</v>
      </c>
      <c r="B18" t="s">
        <v>112</v>
      </c>
      <c r="C18">
        <v>50202</v>
      </c>
      <c r="D18">
        <v>4</v>
      </c>
      <c r="E18" s="9">
        <v>44771</v>
      </c>
      <c r="F18">
        <v>1914</v>
      </c>
      <c r="G18" s="8" t="s">
        <v>182</v>
      </c>
      <c r="J18" s="8" t="s">
        <v>183</v>
      </c>
      <c r="L18" t="s">
        <v>115</v>
      </c>
      <c r="M18" t="s">
        <v>124</v>
      </c>
      <c r="N18" t="s">
        <v>117</v>
      </c>
      <c r="P18">
        <v>1249</v>
      </c>
      <c r="Q18" s="8" t="s">
        <v>184</v>
      </c>
      <c r="R18" s="8" t="s">
        <v>118</v>
      </c>
      <c r="S18" t="s">
        <v>147</v>
      </c>
      <c r="T18" t="s">
        <v>120</v>
      </c>
      <c r="V18" t="s">
        <v>148</v>
      </c>
    </row>
    <row r="19" spans="1:22" x14ac:dyDescent="0.25">
      <c r="A19" t="s">
        <v>111</v>
      </c>
      <c r="B19" t="s">
        <v>112</v>
      </c>
      <c r="C19">
        <v>50202</v>
      </c>
      <c r="D19">
        <v>5</v>
      </c>
      <c r="E19" s="9">
        <v>44771</v>
      </c>
      <c r="F19">
        <v>4703</v>
      </c>
      <c r="G19" s="8" t="s">
        <v>185</v>
      </c>
      <c r="J19" s="8" t="s">
        <v>186</v>
      </c>
      <c r="L19" t="s">
        <v>115</v>
      </c>
      <c r="M19" t="s">
        <v>124</v>
      </c>
      <c r="N19" t="s">
        <v>187</v>
      </c>
      <c r="P19">
        <v>999</v>
      </c>
      <c r="Q19" s="8" t="s">
        <v>188</v>
      </c>
      <c r="R19" s="8" t="s">
        <v>118</v>
      </c>
      <c r="S19" t="s">
        <v>189</v>
      </c>
    </row>
    <row r="20" spans="1:22" x14ac:dyDescent="0.25">
      <c r="A20" t="s">
        <v>111</v>
      </c>
      <c r="B20" t="s">
        <v>112</v>
      </c>
      <c r="C20">
        <v>50202</v>
      </c>
      <c r="D20">
        <v>6</v>
      </c>
      <c r="E20" s="9">
        <v>44771</v>
      </c>
      <c r="F20">
        <v>631</v>
      </c>
      <c r="G20" s="8" t="s">
        <v>190</v>
      </c>
      <c r="J20" s="8" t="s">
        <v>191</v>
      </c>
      <c r="L20" t="s">
        <v>115</v>
      </c>
      <c r="M20" t="s">
        <v>124</v>
      </c>
      <c r="N20" t="s">
        <v>192</v>
      </c>
      <c r="P20">
        <v>2667</v>
      </c>
      <c r="Q20" s="8" t="s">
        <v>193</v>
      </c>
      <c r="R20" s="8" t="s">
        <v>118</v>
      </c>
      <c r="S20" t="s">
        <v>194</v>
      </c>
      <c r="T20" t="s">
        <v>195</v>
      </c>
    </row>
    <row r="21" spans="1:22" x14ac:dyDescent="0.25">
      <c r="A21" t="s">
        <v>111</v>
      </c>
      <c r="B21" t="s">
        <v>112</v>
      </c>
      <c r="C21">
        <v>50202</v>
      </c>
      <c r="D21">
        <v>5</v>
      </c>
      <c r="E21" s="9">
        <v>44771</v>
      </c>
      <c r="F21">
        <v>4723</v>
      </c>
      <c r="G21" s="8" t="s">
        <v>196</v>
      </c>
      <c r="J21" s="8" t="s">
        <v>197</v>
      </c>
      <c r="L21" t="s">
        <v>115</v>
      </c>
      <c r="M21" t="s">
        <v>124</v>
      </c>
      <c r="N21" t="s">
        <v>117</v>
      </c>
      <c r="P21">
        <v>337</v>
      </c>
      <c r="Q21" s="8" t="s">
        <v>198</v>
      </c>
      <c r="R21" s="8" t="s">
        <v>118</v>
      </c>
      <c r="S21" t="s">
        <v>199</v>
      </c>
      <c r="T21" t="s">
        <v>200</v>
      </c>
      <c r="V21" t="s">
        <v>127</v>
      </c>
    </row>
    <row r="22" spans="1:22" x14ac:dyDescent="0.25">
      <c r="A22" t="s">
        <v>111</v>
      </c>
      <c r="B22" t="s">
        <v>112</v>
      </c>
      <c r="C22">
        <v>50202</v>
      </c>
      <c r="D22">
        <v>5</v>
      </c>
      <c r="E22" s="9">
        <v>44771</v>
      </c>
      <c r="F22">
        <v>4716</v>
      </c>
      <c r="G22" s="8" t="s">
        <v>201</v>
      </c>
      <c r="J22" s="8" t="s">
        <v>202</v>
      </c>
      <c r="L22" t="s">
        <v>115</v>
      </c>
      <c r="M22" t="s">
        <v>124</v>
      </c>
      <c r="N22" t="s">
        <v>130</v>
      </c>
      <c r="P22">
        <v>7832.35</v>
      </c>
      <c r="Q22" s="8" t="s">
        <v>203</v>
      </c>
      <c r="R22" s="8" t="s">
        <v>118</v>
      </c>
      <c r="S22" t="s">
        <v>204</v>
      </c>
    </row>
    <row r="23" spans="1:22" x14ac:dyDescent="0.25">
      <c r="A23" t="s">
        <v>111</v>
      </c>
      <c r="B23" t="s">
        <v>112</v>
      </c>
      <c r="C23">
        <v>50202</v>
      </c>
      <c r="D23">
        <v>6</v>
      </c>
      <c r="E23" s="9">
        <v>44771</v>
      </c>
      <c r="F23">
        <v>628</v>
      </c>
      <c r="G23" s="8" t="s">
        <v>205</v>
      </c>
      <c r="J23" s="8" t="s">
        <v>206</v>
      </c>
      <c r="L23" t="s">
        <v>115</v>
      </c>
      <c r="M23" t="s">
        <v>124</v>
      </c>
      <c r="N23" t="s">
        <v>117</v>
      </c>
      <c r="P23">
        <v>2864.95</v>
      </c>
      <c r="Q23" s="8" t="s">
        <v>207</v>
      </c>
      <c r="R23" s="8" t="s">
        <v>118</v>
      </c>
      <c r="S23" t="s">
        <v>208</v>
      </c>
      <c r="T23" t="s">
        <v>172</v>
      </c>
      <c r="V23" t="s">
        <v>209</v>
      </c>
    </row>
    <row r="24" spans="1:22" x14ac:dyDescent="0.25">
      <c r="A24" t="s">
        <v>111</v>
      </c>
      <c r="B24" t="s">
        <v>112</v>
      </c>
      <c r="C24">
        <v>50202</v>
      </c>
      <c r="D24">
        <v>5</v>
      </c>
      <c r="E24" s="9">
        <v>44771</v>
      </c>
      <c r="F24">
        <v>4716</v>
      </c>
      <c r="G24" s="8" t="s">
        <v>201</v>
      </c>
      <c r="J24" s="8" t="s">
        <v>202</v>
      </c>
      <c r="L24" t="s">
        <v>115</v>
      </c>
      <c r="M24" t="s">
        <v>124</v>
      </c>
      <c r="N24" t="s">
        <v>117</v>
      </c>
      <c r="P24">
        <v>77.650000000000006</v>
      </c>
      <c r="Q24" s="8" t="s">
        <v>203</v>
      </c>
      <c r="R24" s="8" t="s">
        <v>118</v>
      </c>
      <c r="S24" t="s">
        <v>204</v>
      </c>
      <c r="T24" t="s">
        <v>200</v>
      </c>
      <c r="V24" t="s">
        <v>127</v>
      </c>
    </row>
    <row r="25" spans="1:22" x14ac:dyDescent="0.25">
      <c r="A25" t="s">
        <v>111</v>
      </c>
      <c r="B25" t="s">
        <v>112</v>
      </c>
      <c r="C25">
        <v>50202</v>
      </c>
      <c r="D25">
        <v>6</v>
      </c>
      <c r="E25" s="9">
        <v>44771</v>
      </c>
      <c r="F25">
        <v>644</v>
      </c>
      <c r="G25" s="8" t="s">
        <v>100</v>
      </c>
      <c r="J25" s="8" t="s">
        <v>210</v>
      </c>
      <c r="L25" t="s">
        <v>115</v>
      </c>
      <c r="M25" t="s">
        <v>124</v>
      </c>
      <c r="N25" t="s">
        <v>211</v>
      </c>
      <c r="P25">
        <v>1587</v>
      </c>
      <c r="Q25" s="8" t="s">
        <v>212</v>
      </c>
      <c r="R25" s="8" t="s">
        <v>118</v>
      </c>
      <c r="S25" t="s">
        <v>213</v>
      </c>
      <c r="T25" t="s">
        <v>214</v>
      </c>
    </row>
    <row r="26" spans="1:22" x14ac:dyDescent="0.25">
      <c r="A26" t="s">
        <v>111</v>
      </c>
      <c r="B26" t="s">
        <v>112</v>
      </c>
      <c r="C26">
        <v>50202</v>
      </c>
      <c r="D26">
        <v>6</v>
      </c>
      <c r="E26" s="9">
        <v>44771</v>
      </c>
      <c r="F26">
        <v>636</v>
      </c>
      <c r="G26" s="8" t="s">
        <v>215</v>
      </c>
      <c r="J26" s="8" t="s">
        <v>216</v>
      </c>
      <c r="L26" t="s">
        <v>115</v>
      </c>
      <c r="M26" t="s">
        <v>116</v>
      </c>
      <c r="N26" t="s">
        <v>130</v>
      </c>
      <c r="P26">
        <v>207</v>
      </c>
      <c r="Q26" s="8" t="s">
        <v>118</v>
      </c>
      <c r="R26" s="8" t="s">
        <v>118</v>
      </c>
      <c r="S26" t="s">
        <v>217</v>
      </c>
    </row>
    <row r="27" spans="1:22" x14ac:dyDescent="0.25">
      <c r="A27" t="s">
        <v>111</v>
      </c>
      <c r="B27" t="s">
        <v>112</v>
      </c>
      <c r="C27">
        <v>50202</v>
      </c>
      <c r="D27">
        <v>5</v>
      </c>
      <c r="E27" s="9">
        <v>44771</v>
      </c>
      <c r="F27">
        <v>4709</v>
      </c>
      <c r="G27" s="8" t="s">
        <v>157</v>
      </c>
      <c r="J27" s="8" t="s">
        <v>158</v>
      </c>
      <c r="L27" t="s">
        <v>115</v>
      </c>
      <c r="M27" t="s">
        <v>124</v>
      </c>
      <c r="N27" t="s">
        <v>117</v>
      </c>
      <c r="P27">
        <v>177</v>
      </c>
      <c r="Q27" s="8" t="s">
        <v>159</v>
      </c>
      <c r="R27" s="8" t="s">
        <v>118</v>
      </c>
      <c r="S27" t="s">
        <v>160</v>
      </c>
      <c r="T27" t="s">
        <v>172</v>
      </c>
      <c r="V27" t="s">
        <v>127</v>
      </c>
    </row>
    <row r="28" spans="1:22" x14ac:dyDescent="0.25">
      <c r="A28" t="s">
        <v>111</v>
      </c>
      <c r="B28" t="s">
        <v>112</v>
      </c>
      <c r="C28">
        <v>50202</v>
      </c>
      <c r="D28">
        <v>5</v>
      </c>
      <c r="E28" s="9">
        <v>44771</v>
      </c>
      <c r="F28">
        <v>4713</v>
      </c>
      <c r="G28" s="8" t="s">
        <v>218</v>
      </c>
      <c r="J28" s="8" t="s">
        <v>219</v>
      </c>
      <c r="L28" t="s">
        <v>115</v>
      </c>
      <c r="M28" t="s">
        <v>116</v>
      </c>
      <c r="N28" t="s">
        <v>220</v>
      </c>
      <c r="P28">
        <v>298</v>
      </c>
      <c r="Q28" s="8" t="s">
        <v>118</v>
      </c>
      <c r="R28" s="8" t="s">
        <v>118</v>
      </c>
      <c r="S28" t="s">
        <v>221</v>
      </c>
    </row>
    <row r="29" spans="1:22" x14ac:dyDescent="0.25">
      <c r="A29" t="s">
        <v>111</v>
      </c>
      <c r="B29" t="s">
        <v>112</v>
      </c>
      <c r="C29">
        <v>50202</v>
      </c>
      <c r="D29">
        <v>5</v>
      </c>
      <c r="E29" s="9">
        <v>44771</v>
      </c>
      <c r="F29">
        <v>4720</v>
      </c>
      <c r="G29" s="8" t="s">
        <v>222</v>
      </c>
      <c r="J29" s="8" t="s">
        <v>223</v>
      </c>
      <c r="L29" t="s">
        <v>115</v>
      </c>
      <c r="M29" t="s">
        <v>124</v>
      </c>
      <c r="N29" t="s">
        <v>117</v>
      </c>
      <c r="P29">
        <v>1997</v>
      </c>
      <c r="Q29" s="8" t="s">
        <v>224</v>
      </c>
      <c r="R29" s="8" t="s">
        <v>118</v>
      </c>
      <c r="S29" t="s">
        <v>225</v>
      </c>
      <c r="T29" t="s">
        <v>200</v>
      </c>
      <c r="V29" t="s">
        <v>127</v>
      </c>
    </row>
    <row r="30" spans="1:22" x14ac:dyDescent="0.25">
      <c r="A30" t="s">
        <v>111</v>
      </c>
      <c r="B30" t="s">
        <v>112</v>
      </c>
      <c r="C30">
        <v>50202</v>
      </c>
      <c r="D30">
        <v>4</v>
      </c>
      <c r="E30" s="9">
        <v>44771</v>
      </c>
      <c r="F30">
        <v>1901</v>
      </c>
      <c r="G30" s="8" t="s">
        <v>226</v>
      </c>
      <c r="J30" s="8" t="s">
        <v>227</v>
      </c>
      <c r="L30" t="s">
        <v>115</v>
      </c>
      <c r="M30" t="s">
        <v>124</v>
      </c>
      <c r="N30" t="s">
        <v>117</v>
      </c>
      <c r="P30">
        <v>777</v>
      </c>
      <c r="Q30" s="8" t="s">
        <v>228</v>
      </c>
      <c r="R30" s="8" t="s">
        <v>118</v>
      </c>
      <c r="S30" t="s">
        <v>119</v>
      </c>
      <c r="T30" t="s">
        <v>120</v>
      </c>
      <c r="V30" t="s">
        <v>121</v>
      </c>
    </row>
    <row r="31" spans="1:22" x14ac:dyDescent="0.25">
      <c r="A31" t="s">
        <v>111</v>
      </c>
      <c r="B31" t="s">
        <v>112</v>
      </c>
      <c r="C31">
        <v>50202</v>
      </c>
      <c r="D31">
        <v>4</v>
      </c>
      <c r="E31" s="9">
        <v>44771</v>
      </c>
      <c r="F31">
        <v>1906</v>
      </c>
      <c r="G31" s="8" t="s">
        <v>229</v>
      </c>
      <c r="J31" s="8" t="s">
        <v>230</v>
      </c>
      <c r="L31" t="s">
        <v>115</v>
      </c>
      <c r="M31" t="s">
        <v>116</v>
      </c>
      <c r="N31" t="s">
        <v>117</v>
      </c>
      <c r="P31">
        <v>227</v>
      </c>
      <c r="Q31" s="8" t="s">
        <v>118</v>
      </c>
      <c r="R31" s="8" t="s">
        <v>118</v>
      </c>
      <c r="S31" t="s">
        <v>231</v>
      </c>
      <c r="T31" t="s">
        <v>172</v>
      </c>
      <c r="V31" t="s">
        <v>127</v>
      </c>
    </row>
    <row r="32" spans="1:22" x14ac:dyDescent="0.25">
      <c r="A32" t="s">
        <v>111</v>
      </c>
      <c r="B32" t="s">
        <v>112</v>
      </c>
      <c r="C32">
        <v>50202</v>
      </c>
      <c r="D32">
        <v>4</v>
      </c>
      <c r="E32" s="9">
        <v>44771</v>
      </c>
      <c r="F32">
        <v>1869</v>
      </c>
      <c r="G32" s="8" t="s">
        <v>232</v>
      </c>
      <c r="J32" s="8" t="s">
        <v>233</v>
      </c>
      <c r="L32" t="s">
        <v>115</v>
      </c>
      <c r="M32" t="s">
        <v>116</v>
      </c>
      <c r="N32" t="s">
        <v>130</v>
      </c>
      <c r="P32">
        <v>150</v>
      </c>
      <c r="Q32" s="8" t="s">
        <v>118</v>
      </c>
      <c r="R32" s="8" t="s">
        <v>118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Cierre</vt:lpstr>
      <vt:lpstr>tblTarjetas</vt:lpstr>
      <vt:lpstr>Tarjetas</vt:lpstr>
      <vt:lpstr>tblDepositos</vt:lpstr>
      <vt:lpstr>Depositos</vt:lpstr>
      <vt:lpstr>tblTransaccional</vt:lpstr>
      <vt:lpstr>Transaccional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Cristian Adolfo Coronado Gomez</dc:creator>
  <cp:lastModifiedBy>Cristian Adolfo Coronado Gomez</cp:lastModifiedBy>
  <dcterms:created xsi:type="dcterms:W3CDTF">2015-06-05T18:19:34Z</dcterms:created>
  <dcterms:modified xsi:type="dcterms:W3CDTF">2022-08-01T16:04:57Z</dcterms:modified>
</cp:coreProperties>
</file>