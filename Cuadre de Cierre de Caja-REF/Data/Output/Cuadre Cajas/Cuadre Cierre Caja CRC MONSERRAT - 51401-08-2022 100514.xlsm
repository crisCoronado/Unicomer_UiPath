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1CFE0121-63EA-4539-8830-F528E24E6508}" xr6:coauthVersionLast="47" xr6:coauthVersionMax="47" xr10:uidLastSave="{00000000-0000-0000-0000-000000000000}"/>
  <bookViews>
    <workbookView xWindow="390" yWindow="39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36" r:id="rId8"/>
    <pivotCache cacheId="37" r:id="rId9"/>
    <pivotCache cacheId="38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<sst xmlns="http://schemas.openxmlformats.org/spreadsheetml/2006/main" count="272" uniqueCount="144">
  <si>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</si>
  <si>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</si>
  <si>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</si>
  <si>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</si>
  <si>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</si>
  <si>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</si>
  <si>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</si>
  <si>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</si>
  <si>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</si>
  <si>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</si>
  <si>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</si>
  <si>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</si>
  <si>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</si>
  <si>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</si>
  <si>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</si>
  <si>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</si>
  <si>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</si>
  <si>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</si>
  <si>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</si>
  <si>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</si>
  <si>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</si>
  <si>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</si>
  <si>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</si>
  <si>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</si>
  <si>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</si>
  <si>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</si>
  <si>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</si>
  <si>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</si>
  <si>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</si>
  <si>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</si>
  <si>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</si>
  <si>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</si>
  <si>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</si>
  <si>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</si>
  <si>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</si>
  <si>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</si>
  <si>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</si>
  <si>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</si>
  <si>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</si>
  <si>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</si>
  <si>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</si>
  <si>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</si>
  <si>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</si>
  <si>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</si>
  <si>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</si>
  <si>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</si>
  <si>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</si>
  <si>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</si>
  <si>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</si>
  <si>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</si>
  <si>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</si>
  <si>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</si>
  <si>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</si>
  <si>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</si>
  <si>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</si>
  <si>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</si>
  <si>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</si>
  <si>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</si>
  <si>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</si>
  <si>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</si>
  <si>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</si>
  <si>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</si>
  <si>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</si>
  <si>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</si>
  <si>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</si>
  <si>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</si>
  <si>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</si>
  <si>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</si>
  <si>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</si>
  <si>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</si>
  <si>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</si>
  <si>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de America Central, S.A.</t>
  </si>
  <si>
    <t>UNICOMER-MONTSERRAT</t>
  </si>
  <si>
    <t>29/07/2022</t>
  </si>
  <si>
    <t>TARJETA</t>
  </si>
  <si>
    <t>GTQ</t>
  </si>
  <si>
    <t>NOC</t>
  </si>
  <si>
    <t>JOSUE ALEXANDER SECAY YOL</t>
  </si>
  <si>
    <t>system</t>
  </si>
  <si>
    <t>Etiquetas de columna</t>
  </si>
  <si>
    <t>Total general</t>
  </si>
  <si>
    <t>Etiquetas de fila</t>
  </si>
  <si>
    <t>Suma de MONTO</t>
  </si>
  <si>
    <t>UNICOMER</t>
  </si>
  <si>
    <t>CSH</t>
  </si>
  <si>
    <t>12514000082620220729</t>
  </si>
  <si>
    <t>CON</t>
  </si>
  <si>
    <t>066-0008237-0</t>
  </si>
  <si>
    <t>Banco G&amp;T Continental, S.A.</t>
  </si>
  <si>
    <t>30/07/2022</t>
  </si>
  <si>
    <t>Confirmación Automática</t>
  </si>
  <si>
    <t>31/07/2022</t>
  </si>
  <si>
    <t>JUAN MANUEL MENDEZ PAZ</t>
  </si>
  <si>
    <t>UNICOSERVI</t>
  </si>
  <si>
    <t>066-0018094-3</t>
  </si>
  <si>
    <t>Suma de Monto</t>
  </si>
  <si>
    <t>LA CURACAO</t>
  </si>
  <si>
    <t>CRC MONSERRAT</t>
  </si>
  <si>
    <t>12514008214620220729</t>
  </si>
  <si>
    <t>3B0FA4F92353351210</t>
  </si>
  <si>
    <t>Factura Consumidor Final</t>
  </si>
  <si>
    <t>Ventas Contado</t>
  </si>
  <si>
    <t>Efectivo</t>
  </si>
  <si>
    <t/>
  </si>
  <si>
    <t>12514008214120220729</t>
  </si>
  <si>
    <t>86EE6FA32146189514</t>
  </si>
  <si>
    <t>Venta Cotización contado</t>
  </si>
  <si>
    <t>Tarjeta de Credito</t>
  </si>
  <si>
    <t>125142122200SN</t>
  </si>
  <si>
    <t>JOAQUIN CHOC</t>
  </si>
  <si>
    <t>BANCO DE AMÉRICA CENTRAL, S.A</t>
  </si>
  <si>
    <t>Card</t>
  </si>
  <si>
    <t>12514008214420220729</t>
  </si>
  <si>
    <t>B50086BE420889306</t>
  </si>
  <si>
    <t>12514008215220220729</t>
  </si>
  <si>
    <t>3A9F437F1175473957</t>
  </si>
  <si>
    <t>125142092201Z3</t>
  </si>
  <si>
    <t xml:space="preserve">ROSA   VALLE  </t>
  </si>
  <si>
    <t>12514008214720220729</t>
  </si>
  <si>
    <t>F2283EA8695223186</t>
  </si>
  <si>
    <t>125142122200SP</t>
  </si>
  <si>
    <t xml:space="preserve">JACOBO   VASQUEZ  </t>
  </si>
  <si>
    <t>12514008214520220729</t>
  </si>
  <si>
    <t>CD4D2BC83738649668</t>
  </si>
  <si>
    <t>12514008215320220729</t>
  </si>
  <si>
    <t>979E036C3113174436</t>
  </si>
  <si>
    <t>(en blanco)</t>
  </si>
  <si>
    <t>Total Venta Cotización contado</t>
  </si>
  <si>
    <t>Total Ventas Contado</t>
  </si>
  <si>
    <t>Total 29/07/2022</t>
  </si>
  <si>
    <t>Total 50204</t>
  </si>
  <si>
    <t>Total CRC MONSERRAT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</si>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</sst>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328935186" createdVersion="3" refreshedVersion="8" minRefreshableVersion="3" recordCount="2" xr:uid="{FBD92D5F-9094-4AFD-A955-2E2B60A897E4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140082141202E+19" maxValue="1.2514008215420201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04" maxValue="50204" count="1">
        <n v="50204"/>
      </sharedItems>
    </cacheField>
    <cacheField name="RI" numFmtId="0">
      <sharedItems containsSemiMixedTypes="0" containsString="0" containsNumber="1" containsInteger="1" minValue="514" maxValue="514"/>
    </cacheField>
    <cacheField name="NO CAJA" numFmtId="0">
      <sharedItems containsSemiMixedTypes="0" containsString="0" containsNumber="1" containsInteger="1" minValue="8" maxValue="8"/>
    </cacheField>
    <cacheField name="DESC ALMACEN" numFmtId="0">
      <sharedItems count="1">
        <s v="UNICOMER-MONTSERRAT"/>
      </sharedItems>
    </cacheField>
    <cacheField name="REFERENCIA" numFmtId="0">
      <sharedItems containsSemiMixedTypes="0" containsString="0" containsNumber="1" containsInteger="1" minValue="4206" maxValue="174342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containsInteger="1" minValue="500" maxValue="597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containsInteger="1" minValue="500" maxValue="597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359953707" createdVersion="3" refreshedVersion="8" minRefreshableVersion="3" recordCount="2" xr:uid="{A59CFD6A-3E25-4829-AB3C-13A120BB39F1}">
  <cacheSource type="worksheet">
    <worksheetSource name="Tabla2"/>
  </cacheSource>
  <cacheFields count="27">
    <cacheField name="Compañia" numFmtId="0">
      <sharedItems count="2">
        <s v="UNICOMER"/>
        <s v="UNICOSERVI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4" maxValue="50204" count="1">
        <n v="50204"/>
      </sharedItems>
    </cacheField>
    <cacheField name="Tienda" numFmtId="0">
      <sharedItems containsSemiMixedTypes="0" containsString="0" containsNumber="1" containsInteger="1" minValue="12514" maxValue="12514"/>
    </cacheField>
    <cacheField name="Desc Almacen" numFmtId="0">
      <sharedItems count="1">
        <s v="UNICOMER-MONTSERRAT"/>
      </sharedItems>
    </cacheField>
    <cacheField name="Caja" numFmtId="0">
      <sharedItems containsSemiMixedTypes="0" containsString="0" containsNumber="1" containsInteger="1" minValue="8" maxValue="8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7284452" maxValue="7284453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2735.44" maxValue="6901.56"/>
    </cacheField>
    <cacheField name="Fecha Banco" numFmtId="0">
      <sharedItems/>
    </cacheField>
    <cacheField name="Número Déposito Confirmado" numFmtId="0">
      <sharedItems containsSemiMixedTypes="0" containsString="0" containsNumber="1" containsInteger="1" minValue="7284452" maxValue="7284453"/>
    </cacheField>
    <cacheField name="Número Cuenta Confirmada" numFmtId="0">
      <sharedItems/>
    </cacheField>
    <cacheField name="Monto Confirmado" numFmtId="0">
      <sharedItems containsSemiMixedTypes="0" containsString="0" containsNumber="1" minValue="2735.44" maxValue="6901.56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2735.44" maxValue="6901.56"/>
    </cacheField>
    <cacheField name="Motivo" numFmtId="0">
      <sharedItems/>
    </cacheField>
    <cacheField name="Fecha confirmacion" numFmtId="0">
      <sharedItems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421296294" createdVersion="3" refreshedVersion="8" minRefreshableVersion="3" recordCount="7" xr:uid="{4294B7AD-324F-426D-BED1-C299BBB025D6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MONSERRAT"/>
      </sharedItems>
    </cacheField>
    <cacheField name="CDA" numFmtId="0">
      <sharedItems containsSemiMixedTypes="0" containsString="0" containsNumber="1" containsInteger="1" minValue="50204" maxValue="50204" count="1">
        <n v="50204"/>
      </sharedItems>
    </cacheField>
    <cacheField name="CAJA" numFmtId="0">
      <sharedItems containsSemiMixedTypes="0" containsString="0" containsNumber="1" containsInteger="1" minValue="8" maxValue="8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2141" maxValue="2153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2">
        <s v="Ventas Contado"/>
        <s v="Venta Cotización contado"/>
      </sharedItems>
    </cacheField>
    <cacheField name="FORMA DE PAGO" numFmtId="0">
      <sharedItems count="2">
        <s v="Efectivo"/>
        <s v="Tarjeta de Credit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containsInteger="1" minValue="5" maxValue="1697"/>
    </cacheField>
    <cacheField name="NUM_COTIZACON" numFmtId="0">
      <sharedItems/>
    </cacheField>
    <cacheField name="NUM_CUENTA" numFmtId="0">
      <sharedItems/>
    </cacheField>
    <cacheField name="NOMBRE_CLIENTE" numFmtId="0">
      <sharedItems containsBlank="1"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.25140082141202E+19"/>
    <s v="Union Comercial de Guatemala, S.A. - Banco de America Central, S.A."/>
    <x v="0"/>
    <n v="514"/>
    <n v="8"/>
    <x v="0"/>
    <n v="174342"/>
    <d v="2022-07-01T00:00:00"/>
    <x v="0"/>
    <s v="TARJETA"/>
    <s v="GTQ"/>
    <n v="597"/>
    <m/>
    <m/>
    <m/>
    <n v="1"/>
    <n v="597"/>
    <x v="0"/>
    <m/>
    <m/>
    <m/>
    <m/>
    <m/>
    <s v="JOSUE ALEXANDER SECAY YOL"/>
    <s v="system"/>
  </r>
  <r>
    <n v="1.2514008215420201E+19"/>
    <s v="Union Comercial de Guatemala, S.A. - Banco de America Central, S.A."/>
    <x v="0"/>
    <n v="514"/>
    <n v="8"/>
    <x v="0"/>
    <n v="4206"/>
    <d v="2022-07-01T00:00:00"/>
    <x v="0"/>
    <s v="TARJETA"/>
    <s v="GTQ"/>
    <n v="500"/>
    <m/>
    <m/>
    <m/>
    <n v="1"/>
    <n v="500"/>
    <x v="0"/>
    <m/>
    <m/>
    <m/>
    <m/>
    <m/>
    <s v="JOSUE ALEXANDER SECAY YOL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d v="2022-07-01T00:00:00"/>
    <s v="CSH"/>
    <s v="12514000082620220729"/>
    <x v="0"/>
    <n v="12514"/>
    <x v="0"/>
    <n v="8"/>
    <s v="CON"/>
    <x v="0"/>
    <n v="7284452"/>
    <s v="066-0008237-0"/>
    <s v="Banco G&amp;T Continental, S.A."/>
    <s v="GTQ"/>
    <n v="2735.44"/>
    <s v="30/07/2022"/>
    <n v="7284452"/>
    <s v="066-0008237-0"/>
    <n v="2735.44"/>
    <m/>
    <n v="1"/>
    <n v="2735.44"/>
    <s v="Confirmación Automática"/>
    <s v="31/07/2022"/>
    <m/>
    <s v="JOSUE ALEXANDER SECAY YOL"/>
    <s v="JUAN MANUEL MENDEZ PAZ"/>
  </r>
  <r>
    <x v="1"/>
    <d v="2022-07-01T00:00:00"/>
    <s v="CSH"/>
    <s v="12514000082620220729"/>
    <x v="0"/>
    <n v="12514"/>
    <x v="0"/>
    <n v="8"/>
    <s v="CON"/>
    <x v="0"/>
    <n v="7284453"/>
    <s v="066-0018094-3"/>
    <s v="Banco G&amp;T Continental, S.A."/>
    <s v="GTQ"/>
    <n v="6901.56"/>
    <s v="30/07/2022"/>
    <n v="7284453"/>
    <s v="066-0018094-3"/>
    <n v="6901.56"/>
    <m/>
    <n v="1"/>
    <n v="6901.56"/>
    <s v="Confirmación Automática"/>
    <s v="31/07/2022"/>
    <m/>
    <s v="JOSUE ALEXANDER SECAY YOL"/>
    <s v="JUAN MANUEL MENDEZ PAZ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LA CURACAO"/>
    <x v="0"/>
    <x v="0"/>
    <n v="8"/>
    <x v="0"/>
    <n v="2146"/>
    <s v="12514008214620220729"/>
    <m/>
    <m/>
    <s v="3B0FA4F92353351210"/>
    <m/>
    <s v="Factura Consumidor Final"/>
    <x v="0"/>
    <x v="0"/>
    <x v="0"/>
    <n v="10"/>
    <s v=""/>
    <s v=""/>
    <m/>
    <m/>
    <m/>
    <m/>
  </r>
  <r>
    <s v="LA CURACAO"/>
    <x v="0"/>
    <x v="0"/>
    <n v="8"/>
    <x v="0"/>
    <n v="2141"/>
    <s v="12514008214120220729"/>
    <m/>
    <m/>
    <s v="86EE6FA32146189514"/>
    <m/>
    <s v="Factura Consumidor Final"/>
    <x v="1"/>
    <x v="1"/>
    <x v="0"/>
    <n v="597"/>
    <s v="125142122200SN"/>
    <s v=""/>
    <s v="JOAQUIN CHOC"/>
    <s v="BANCO DE AMÉRICA CENTRAL, S.A"/>
    <m/>
    <s v="Card"/>
  </r>
  <r>
    <s v="LA CURACAO"/>
    <x v="0"/>
    <x v="0"/>
    <n v="8"/>
    <x v="0"/>
    <n v="2144"/>
    <s v="12514008214420220729"/>
    <m/>
    <m/>
    <s v="B50086BE420889306"/>
    <m/>
    <s v="Factura Consumidor Final"/>
    <x v="0"/>
    <x v="0"/>
    <x v="0"/>
    <n v="55"/>
    <s v=""/>
    <s v=""/>
    <m/>
    <m/>
    <m/>
    <m/>
  </r>
  <r>
    <s v="LA CURACAO"/>
    <x v="0"/>
    <x v="0"/>
    <n v="8"/>
    <x v="0"/>
    <n v="2152"/>
    <s v="12514008215220220729"/>
    <m/>
    <m/>
    <s v="3A9F437F1175473957"/>
    <m/>
    <s v="Factura Consumidor Final"/>
    <x v="1"/>
    <x v="0"/>
    <x v="0"/>
    <n v="1697"/>
    <s v="125142092201Z3"/>
    <s v=""/>
    <s v="ROSA   VALLE  "/>
    <m/>
    <m/>
    <m/>
  </r>
  <r>
    <s v="LA CURACAO"/>
    <x v="0"/>
    <x v="0"/>
    <n v="8"/>
    <x v="0"/>
    <n v="2147"/>
    <s v="12514008214720220729"/>
    <m/>
    <m/>
    <s v="F2283EA8695223186"/>
    <m/>
    <s v="Factura Consumidor Final"/>
    <x v="1"/>
    <x v="0"/>
    <x v="0"/>
    <n v="217"/>
    <s v="125142122200SP"/>
    <s v=""/>
    <s v="JACOBO   VASQUEZ  "/>
    <m/>
    <m/>
    <m/>
  </r>
  <r>
    <s v="LA CURACAO"/>
    <x v="0"/>
    <x v="0"/>
    <n v="8"/>
    <x v="0"/>
    <n v="2145"/>
    <s v="12514008214520220729"/>
    <m/>
    <m/>
    <s v="CD4D2BC83738649668"/>
    <m/>
    <s v="Factura Consumidor Final"/>
    <x v="0"/>
    <x v="0"/>
    <x v="0"/>
    <n v="30"/>
    <s v=""/>
    <s v=""/>
    <m/>
    <m/>
    <m/>
    <m/>
  </r>
  <r>
    <s v="LA CURACAO"/>
    <x v="0"/>
    <x v="0"/>
    <n v="8"/>
    <x v="0"/>
    <n v="2153"/>
    <s v="12514008215320220729"/>
    <m/>
    <m/>
    <s v="979E036C3113174436"/>
    <m/>
    <s v="Factura Consumidor Final"/>
    <x v="0"/>
    <x v="0"/>
    <x v="0"/>
    <n v="5"/>
    <s v=""/>
    <s v="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DB3BB3-435A-4501-B8A8-1A438A56035B}" name="Tbl Dinamica Tarjetas" cacheId="3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42C40E-D017-46DC-8073-436B95BCB4F0}" name="Tbl Dinamica Depositos" cacheId="37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D8" firstHeaderRow="1" firstDataRow="2" firstDataCol="1"/>
  <pivotFields count="27">
    <pivotField axis="axisCol" showAll="0">
      <items count="3">
        <item x="0"/>
        <item x="1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87EBBD-6670-427F-8C5B-7C4EEBFD1FC0}" name="Tbl Dinamica Transaccional" cacheId="38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H12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8">
    <i>
      <x/>
      <x/>
      <x/>
      <x/>
      <x/>
    </i>
    <i t="default" r="3">
      <x/>
    </i>
    <i r="3">
      <x v="1"/>
      <x/>
    </i>
    <i t="default" r="3">
      <x v="1"/>
    </i>
    <i t="default" r="2">
      <x/>
    </i>
    <i t="default" r="1">
      <x/>
    </i>
    <i t="default">
      <x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405479-A36C-4591-A650-212DE90CDFBC}" name="Tabla4" displayName="Tabla4" ref="A1:R9" totalsRowShown="0">
  <autoFilter ref="A1:R9" xr:uid="{FF405479-A36C-4591-A650-212DE90CDFBC}"/>
  <tableColumns count="18">
    <tableColumn id="1" xr3:uid="{4BA19996-752D-4127-AF1E-6D50092F767A}" name="TIENDA"/>
    <tableColumn id="2" xr3:uid="{7C88069E-02A3-4571-ABD2-FDEB9887C062}" name="CDA"/>
    <tableColumn id="3" xr3:uid="{20A2A3C0-29A1-4B0E-83C9-3572177CE5D3}" name="FECHA TRANSACCION"/>
    <tableColumn id="4" xr3:uid="{CFEB5C75-E4C4-440B-B123-BBC6B936E92C}" name="TRANSACCIONES CAJA"/>
    <tableColumn id="5" xr3:uid="{A48BE7F5-CAAD-471C-B3C4-4D6904A44152}" name="CODIGO DE RAZON"/>
    <tableColumn id="6" xr3:uid="{A812962F-CEA0-41B1-BA05-33D93FC35103}" name="Efectivo"/>
    <tableColumn id="7" xr3:uid="{A5C59151-016B-43A8-A484-B3987B8EFBA6}" name="Tarjeta de Credito"/>
    <tableColumn id="8" xr3:uid="{68DBA50F-C1D3-488B-BC96-3981D472693F}" name="Total general"/>
    <tableColumn id="9" xr3:uid="{ECFFCE8D-305C-4C93-B519-148C70AF5B95}" name="CIA"/>
    <tableColumn id="10" xr3:uid="{A98AA08D-30B7-4844-B66A-722D8B19E3EC}" name="INHOUSE DEP-TC"/>
    <tableColumn id="11" xr3:uid="{7E2BECB9-61BE-4BA9-B33D-A63BDB8AF2A1}" name="INGRESOS CORTE DE CAJA"/>
    <tableColumn id="12" xr3:uid="{4F936A9E-9771-4538-95D0-01CC4BD121FE}" name="CIERRE P.O.S."/>
    <tableColumn id="13" xr3:uid="{C6EB5EA0-2044-49D8-81F7-D472D323719A}" name="VENTAS TC INTERNET"/>
    <tableColumn id="14" xr3:uid="{E30C120C-C3DA-497C-984C-30149E3DE40F}" name="VISALINK"/>
    <tableColumn id="15" xr3:uid="{DF4FDB3C-A82C-421B-BED2-AF16CCBC72B7}" name="TRASLADOS"/>
    <tableColumn id="16" xr3:uid="{AA8A0A1F-CD4F-4A14-910A-FD0F5FB0FEB0}" name="DIFERENCIA"/>
    <tableColumn id="17" xr3:uid="{BC51E4F8-347E-4E4C-B81D-098667B5838F}" name="OBSERVACIÓN"/>
    <tableColumn id="18" xr3:uid="{D582FE67-A7D8-4CEB-AEB8-4F8988972A7A}" name="Columna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FEE134-8B5E-4F43-82BA-F34A6F31378D}" name="Tabla1" displayName="Tabla1" ref="A1:Y3" totalsRowShown="0" headerRowDxfId="11" headerRowBorderDxfId="10" tableBorderDxfId="9">
  <autoFilter ref="A1:Y3" xr:uid="{06FEE134-8B5E-4F43-82BA-F34A6F31378D}"/>
  <tableColumns count="25">
    <tableColumn id="1" xr3:uid="{8F7CFB38-0E2D-473E-8791-C190A293670D}" name="NÚMERO TRANSACCION"/>
    <tableColumn id="2" xr3:uid="{75ECA50A-F6F7-4CBA-83FD-4E50AA1143BB}" name="DESC CUENTA"/>
    <tableColumn id="3" xr3:uid="{95DBB584-CD9C-414E-A484-F28CEDBA56F1}" name="CENTRO ANALISIS"/>
    <tableColumn id="4" xr3:uid="{2528D84A-9598-4456-A05C-12281A568E18}" name="RI"/>
    <tableColumn id="5" xr3:uid="{4DBBD3D4-8D6D-4EF5-9A62-D2367423DEFD}" name="NO CAJA"/>
    <tableColumn id="6" xr3:uid="{1ADBEEC8-1CFC-45E9-AB1F-97A24A311AFE}" name="DESC ALMACEN"/>
    <tableColumn id="7" xr3:uid="{B317CFEA-782C-4E13-B0F1-FF52D1723817}" name="REFERENCIA"/>
    <tableColumn id="8" xr3:uid="{6B6B9B3A-6492-4BC3-9B96-C174C8413A48}" name="PERIODO CONTABLE" dataDxfId="8"/>
    <tableColumn id="9" xr3:uid="{A0996FB4-037B-4906-9BFC-41D855FAE7F5}" name="FECHA AUTORIZACIÓN"/>
    <tableColumn id="10" xr3:uid="{62FE19EE-52C3-4A3E-B1ED-ADE7ED4423A9}" name="TIPO PROMOCIÓN"/>
    <tableColumn id="11" xr3:uid="{CB56AC03-F152-4822-AA6D-5A75B2A9B65A}" name="MONEDA"/>
    <tableColumn id="12" xr3:uid="{983E016B-D5A3-4A9A-83D2-A2ABE7B6155D}" name="MONTO"/>
    <tableColumn id="13" xr3:uid="{31C4AEC2-A9AB-4124-A64E-B8BB7D93A656}" name="NUMERO CONFIRMADO"/>
    <tableColumn id="14" xr3:uid="{F97B43EF-A637-47CD-B3BF-09FE56CC8E99}" name="Monto Confirmado"/>
    <tableColumn id="15" xr3:uid="{E54B95FC-1553-4176-800A-AA11DC1E1F69}" name="Diferencia"/>
    <tableColumn id="16" xr3:uid="{B6FCBAC9-E8B3-42A1-A898-810F00F8F698}" name="TASA DE CAMBIO"/>
    <tableColumn id="17" xr3:uid="{EDC8B74F-CE26-48C5-8E50-DECBCED88E2F}" name="MONTO MNL"/>
    <tableColumn id="18" xr3:uid="{4CEE8408-D1D1-49B8-84DC-0662628C914B}" name="ESTADO"/>
    <tableColumn id="19" xr3:uid="{55EEC4BA-2C1B-4450-9E0D-DB7BC46E993B}" name="FECHA BANCO"/>
    <tableColumn id="20" xr3:uid="{DC136922-0851-4B5D-AD4C-CD559A398691}" name="NÚMERO DE DEPOSITO"/>
    <tableColumn id="21" xr3:uid="{BC39B264-7508-4F00-8F0C-4CA2BC029D70}" name="NÚMERO CCF"/>
    <tableColumn id="22" xr3:uid="{30CAFF04-85B5-44EC-B808-A9347247025C}" name="FECHA CONFIRMACION"/>
    <tableColumn id="23" xr3:uid="{EDFB3238-17F4-4A66-8287-1420566FFE93}" name="FECHA CONTABLE"/>
    <tableColumn id="24" xr3:uid="{C7DF8562-88FE-4783-886D-9C769CACEB0B}" name="EMPLEADO"/>
    <tableColumn id="25" xr3:uid="{E5C12CF5-8D4D-47B6-9C02-17E4BC74269F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B28DEA-1D80-4198-9300-1863F66DAB7B}" name="Tabla2" displayName="Tabla2" ref="A1:AA3" totalsRowShown="0" headerRowDxfId="7" headerRowBorderDxfId="6" tableBorderDxfId="5">
  <autoFilter ref="A1:AA3" xr:uid="{53B28DEA-1D80-4198-9300-1863F66DAB7B}"/>
  <tableColumns count="27">
    <tableColumn id="1" xr3:uid="{81871C75-F52D-44AB-AAC2-F4020675E5DA}" name="Compañia"/>
    <tableColumn id="2" xr3:uid="{94F680B3-653C-4278-818E-51FEDB59641F}" name="Período" dataDxfId="4"/>
    <tableColumn id="3" xr3:uid="{6A9ECE64-D3B7-4708-B558-1659EB73F655}" name="Tipo"/>
    <tableColumn id="4" xr3:uid="{2DFFA0E6-264F-4B25-9BEE-540A0F0A0EF7}" name="Número Transacción"/>
    <tableColumn id="5" xr3:uid="{84422CD3-32B8-4931-B05B-71A71B298396}" name="Centro Analisis"/>
    <tableColumn id="6" xr3:uid="{1F7DED03-3F5C-4AF9-8A85-381B17B3CC6B}" name="Tienda"/>
    <tableColumn id="7" xr3:uid="{FB1C8196-339A-4A05-A7E9-6F0CC3BC6177}" name="Desc Almacen"/>
    <tableColumn id="8" xr3:uid="{F6897F86-B86E-4E0B-8166-29ACE1F8DE31}" name="Caja"/>
    <tableColumn id="9" xr3:uid="{C7A5838D-CFFC-442D-98F0-6E9849E837D7}" name="Estado"/>
    <tableColumn id="10" xr3:uid="{D051DF92-6B10-43D6-B0D6-E7F57D606F18}" name="Fecha deposito"/>
    <tableColumn id="11" xr3:uid="{6DD22FA7-C340-4CFE-A52F-CA9A28DC3EF9}" name="Numero Deposito"/>
    <tableColumn id="12" xr3:uid="{577F923F-DBAC-4046-BCE7-593F42345182}" name="Numero Cuenta"/>
    <tableColumn id="13" xr3:uid="{C7921F0A-9249-4378-B936-805F30CC090A}" name="Desc Cuenta"/>
    <tableColumn id="14" xr3:uid="{E5D8B32A-7BA4-4069-8999-D216876E6341}" name="Moneda"/>
    <tableColumn id="15" xr3:uid="{D859BFAF-9D30-45E3-8D6F-2F181C86921B}" name="Monto"/>
    <tableColumn id="16" xr3:uid="{5E3BD4B3-14A2-483B-9D14-5E32DC81F2E8}" name="Fecha Banco"/>
    <tableColumn id="17" xr3:uid="{E35C313F-369D-46EF-9CC7-62DA018CCFBA}" name="Número Déposito Confirmado"/>
    <tableColumn id="18" xr3:uid="{7691C6FE-4D6B-4D47-AD1C-C071049562AF}" name="Número Cuenta Confirmada"/>
    <tableColumn id="19" xr3:uid="{FB29EEA9-96B5-465C-B62C-6D0A37CC63C4}" name="Monto Confirmado"/>
    <tableColumn id="20" xr3:uid="{507B96E9-1FA0-47D6-96CD-D6F11BD36867}" name="Diferencia"/>
    <tableColumn id="21" xr3:uid="{2F062183-25B8-4882-BBE5-44A0120C1897}" name="Tasa de Cambio"/>
    <tableColumn id="22" xr3:uid="{0C39DCCA-E622-4346-92CE-A18C0202809F}" name="Monto MNL"/>
    <tableColumn id="23" xr3:uid="{DDB817C5-F7E3-42E0-AFE0-D38D42559C1F}" name="Motivo"/>
    <tableColumn id="24" xr3:uid="{6CCEAC79-ABB9-4587-BC82-EF5838057A7C}" name="Fecha confirmacion"/>
    <tableColumn id="25" xr3:uid="{9D447C9E-595D-4BDB-88B1-82115970D94D}" name="Fecha Contabilización"/>
    <tableColumn id="26" xr3:uid="{E33B5419-320A-421F-BE24-AC7BC419A699}" name="Empleado"/>
    <tableColumn id="27" xr3:uid="{0EE05B70-44F9-43BB-ABDB-000F58AE5450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FEF1FF-9B97-48BB-8268-3C647F7CCE72}" name="Tabla3" displayName="Tabla3" ref="A1:V8" totalsRowShown="0" headerRowDxfId="3" headerRowBorderDxfId="2" tableBorderDxfId="1">
  <autoFilter ref="A1:V8" xr:uid="{B0FEF1FF-9B97-48BB-8268-3C647F7CCE72}"/>
  <tableColumns count="22">
    <tableColumn id="1" xr3:uid="{A483393A-0242-47EF-A5CB-0B8318A921F3}" name="CADENA"/>
    <tableColumn id="2" xr3:uid="{C96C5ADE-8A0B-4FB6-B0C1-72CB783D94FF}" name="TIENDA"/>
    <tableColumn id="3" xr3:uid="{8DE3B67B-C8A6-4AE3-A17C-F6F33908219F}" name="CDA"/>
    <tableColumn id="4" xr3:uid="{83E3241F-1AEA-4678-A1EE-8DA69B05EC41}" name="CAJA"/>
    <tableColumn id="5" xr3:uid="{4A07EE83-FB98-489E-BB52-0B53610E4E3C}" name="FECHA TRANSACCION" dataDxfId="0"/>
    <tableColumn id="6" xr3:uid="{7E5041FE-96C2-481E-9FEE-B6F9842CA94F}" name="CORRELATIVO CAJA"/>
    <tableColumn id="7" xr3:uid="{A9F0E478-D623-42AE-A28F-09CFBAA9FA80}" name="No. TRANSACCION"/>
    <tableColumn id="8" xr3:uid="{FB0C07B1-1F35-4C4C-ACF9-734DB291E56C}" name="TRANSACCION ORIGINAL (Devolución)"/>
    <tableColumn id="9" xr3:uid="{5BB63980-5252-4753-9809-7829526CE2F0}" name="TRANSACCIÓN CAJA ORIGINAL(Devolución)"/>
    <tableColumn id="10" xr3:uid="{2B131C19-2A73-4FAF-A6CB-EC2A9CB3A6AC}" name="No. DOCUMENTO"/>
    <tableColumn id="11" xr3:uid="{E0CB57CE-C1C1-4793-B1E0-3E5BED9E36D0}" name="NUMERO DE SOLICITUD"/>
    <tableColumn id="12" xr3:uid="{59EE09E0-94C8-4BFE-BEE7-B60BB6F48493}" name="TIPO DOCUMENTO"/>
    <tableColumn id="13" xr3:uid="{078F9BC9-77E3-450F-8D94-51CA9F4C5242}" name="TRANSACCIONES CAJA"/>
    <tableColumn id="14" xr3:uid="{1656023E-AF8C-4FD8-A4B6-4935C5BB8C2D}" name="FORMA DE PAGO"/>
    <tableColumn id="15" xr3:uid="{8F3CF8C4-CAC2-47BA-AEDF-E6297C1AA971}" name="CODIGO DE RAZON"/>
    <tableColumn id="16" xr3:uid="{1FAA7AA5-AD63-4249-B114-042C753D7541}" name="MONTO"/>
    <tableColumn id="17" xr3:uid="{A14B6DC7-BD95-46C6-9E08-E589A71508B0}" name="NUM_COTIZACON"/>
    <tableColumn id="18" xr3:uid="{F6B46C6E-5C67-436A-BF96-32C47789C4D6}" name="NUM_CUENTA"/>
    <tableColumn id="19" xr3:uid="{E992D260-F71B-4305-BB6D-73D0F461FBEF}" name="NOMBRE_CLIENTE"/>
    <tableColumn id="20" xr3:uid="{7DFAAA86-0D97-4399-ADCE-4C14ADE0783C}" name="BANCO"/>
    <tableColumn id="21" xr3:uid="{A7113F0C-979F-4494-9B0E-18CDE87A101D}" name="AUTORIZACION"/>
    <tableColumn id="22" xr3:uid="{E34A8D57-F42D-4E8F-956B-4F3F13E96708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9"/>
  <sheetViews>
    <sheetView tabSelected="1" workbookViewId="0">
      <selection sqref="A1:R9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9" customWidth="1"/>
    <col min="8" max="8" width="14.7109375" customWidth="1"/>
    <col min="10" max="10" width="18" customWidth="1"/>
    <col min="11" max="11" width="25.85546875" customWidth="1"/>
    <col min="12" max="12" width="14.85546875" customWidth="1"/>
    <col min="13" max="13" width="21.7109375" customWidth="1"/>
    <col min="15" max="15" width="13.42578125" customWidth="1"/>
    <col min="16" max="16" width="13.5703125" customWidth="1"/>
    <col min="17" max="17" width="16" customWidth="1"/>
    <col min="18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102</v>
      </c>
      <c r="G1" t="s">
        <v>107</v>
      </c>
      <c r="H1" t="s">
        <v>80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143</v>
      </c>
    </row>
    <row r="2" spans="1:18" x14ac:dyDescent="0.25">
      <c r="A2" t="s">
        <v>97</v>
      </c>
      <c r="B2">
        <v>50204</v>
      </c>
      <c r="C2" s="9">
        <v>44771</v>
      </c>
      <c r="D2" t="s">
        <v>106</v>
      </c>
      <c r="E2" t="s">
        <v>126</v>
      </c>
      <c r="F2">
        <v>1914</v>
      </c>
      <c r="G2">
        <v>597</v>
      </c>
      <c r="H2">
        <v>2511</v>
      </c>
      <c r="I2" t="s">
        <v>93</v>
      </c>
    </row>
    <row r="3" spans="1:18" x14ac:dyDescent="0.25">
      <c r="A3" t="s">
        <v>97</v>
      </c>
      <c r="B3">
        <v>50204</v>
      </c>
      <c r="C3" s="9">
        <v>44771</v>
      </c>
      <c r="D3" t="s">
        <v>127</v>
      </c>
      <c r="F3">
        <v>1914</v>
      </c>
      <c r="G3">
        <v>597</v>
      </c>
      <c r="H3">
        <v>2511</v>
      </c>
      <c r="I3" t="s">
        <v>141</v>
      </c>
    </row>
    <row r="4" spans="1:18" x14ac:dyDescent="0.25">
      <c r="A4" t="s">
        <v>97</v>
      </c>
      <c r="B4">
        <v>50204</v>
      </c>
      <c r="C4" s="9">
        <v>44771</v>
      </c>
      <c r="D4" t="s">
        <v>101</v>
      </c>
      <c r="E4" t="s">
        <v>126</v>
      </c>
      <c r="F4">
        <v>100</v>
      </c>
      <c r="H4">
        <v>100</v>
      </c>
      <c r="I4" t="s">
        <v>142</v>
      </c>
    </row>
    <row r="5" spans="1:18" x14ac:dyDescent="0.25">
      <c r="A5" t="s">
        <v>97</v>
      </c>
      <c r="B5">
        <v>50204</v>
      </c>
      <c r="C5" s="9">
        <v>44771</v>
      </c>
      <c r="D5" t="s">
        <v>128</v>
      </c>
      <c r="F5">
        <v>100</v>
      </c>
      <c r="H5">
        <v>100</v>
      </c>
    </row>
    <row r="6" spans="1:18" x14ac:dyDescent="0.25">
      <c r="A6" t="s">
        <v>97</v>
      </c>
      <c r="B6">
        <v>50204</v>
      </c>
      <c r="C6" t="s">
        <v>129</v>
      </c>
      <c r="F6">
        <v>2014</v>
      </c>
      <c r="G6">
        <v>597</v>
      </c>
      <c r="H6">
        <v>2611</v>
      </c>
      <c r="I6" t="s">
        <v>83</v>
      </c>
    </row>
    <row r="7" spans="1:18" x14ac:dyDescent="0.25">
      <c r="A7" t="s">
        <v>97</v>
      </c>
      <c r="B7" t="s">
        <v>130</v>
      </c>
      <c r="F7">
        <v>2014</v>
      </c>
      <c r="G7">
        <v>597</v>
      </c>
      <c r="H7">
        <v>2611</v>
      </c>
      <c r="I7" t="s">
        <v>93</v>
      </c>
    </row>
    <row r="8" spans="1:18" x14ac:dyDescent="0.25">
      <c r="A8" t="s">
        <v>131</v>
      </c>
      <c r="F8">
        <v>2014</v>
      </c>
      <c r="G8">
        <v>597</v>
      </c>
      <c r="H8">
        <v>2611</v>
      </c>
      <c r="I8" t="s">
        <v>141</v>
      </c>
    </row>
    <row r="9" spans="1:18" x14ac:dyDescent="0.25">
      <c r="A9" t="s">
        <v>80</v>
      </c>
      <c r="F9">
        <v>2014</v>
      </c>
      <c r="G9">
        <v>597</v>
      </c>
      <c r="H9">
        <v>2611</v>
      </c>
      <c r="I9" t="s">
        <v>142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8E170-E3A4-4A98-B7A9-28581C1F8E47}">
  <dimension ref="A3:C8"/>
  <sheetViews>
    <sheetView workbookViewId="0"/>
  </sheetViews>
  <sheetFormatPr baseColWidth="10" defaultRowHeight="15" x14ac:dyDescent="0.25"/>
  <cols>
    <col min="1" max="1" width="28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82</v>
      </c>
      <c r="B3" s="3" t="s">
        <v>79</v>
      </c>
    </row>
    <row r="4" spans="1:3" x14ac:dyDescent="0.25">
      <c r="A4" s="3" t="s">
        <v>81</v>
      </c>
      <c r="B4" t="s">
        <v>76</v>
      </c>
      <c r="C4" t="s">
        <v>80</v>
      </c>
    </row>
    <row r="5" spans="1:3" x14ac:dyDescent="0.25">
      <c r="A5" s="4">
        <v>50204</v>
      </c>
      <c r="B5" s="7">
        <v>1097</v>
      </c>
      <c r="C5" s="7">
        <v>1097</v>
      </c>
    </row>
    <row r="6" spans="1:3" x14ac:dyDescent="0.25">
      <c r="A6" s="5" t="s">
        <v>72</v>
      </c>
      <c r="B6" s="7">
        <v>1097</v>
      </c>
      <c r="C6" s="7">
        <v>1097</v>
      </c>
    </row>
    <row r="7" spans="1:3" x14ac:dyDescent="0.25">
      <c r="A7" s="6" t="s">
        <v>73</v>
      </c>
      <c r="B7" s="7">
        <v>1097</v>
      </c>
      <c r="C7" s="7">
        <v>1097</v>
      </c>
    </row>
    <row r="8" spans="1:3" x14ac:dyDescent="0.25">
      <c r="A8" s="4" t="s">
        <v>80</v>
      </c>
      <c r="B8" s="7">
        <v>1097</v>
      </c>
      <c r="C8" s="7">
        <v>1097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3"/>
  <sheetViews>
    <sheetView workbookViewId="0">
      <selection sqref="A1:Y3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1.25140082141202E+19</v>
      </c>
      <c r="B2" t="s">
        <v>71</v>
      </c>
      <c r="C2">
        <v>50204</v>
      </c>
      <c r="D2">
        <v>514</v>
      </c>
      <c r="E2">
        <v>8</v>
      </c>
      <c r="F2" t="s">
        <v>72</v>
      </c>
      <c r="G2">
        <v>174342</v>
      </c>
      <c r="H2" s="1">
        <v>44743</v>
      </c>
      <c r="I2" t="s">
        <v>73</v>
      </c>
      <c r="J2" t="s">
        <v>74</v>
      </c>
      <c r="K2" t="s">
        <v>75</v>
      </c>
      <c r="L2">
        <v>597</v>
      </c>
      <c r="P2">
        <v>1</v>
      </c>
      <c r="Q2">
        <v>597</v>
      </c>
      <c r="R2" t="s">
        <v>76</v>
      </c>
      <c r="X2" t="s">
        <v>77</v>
      </c>
      <c r="Y2" t="s">
        <v>78</v>
      </c>
    </row>
    <row r="3" spans="1:25" x14ac:dyDescent="0.25">
      <c r="A3">
        <v>1.2514008215420201E+19</v>
      </c>
      <c r="B3" t="s">
        <v>71</v>
      </c>
      <c r="C3">
        <v>50204</v>
      </c>
      <c r="D3">
        <v>514</v>
      </c>
      <c r="E3">
        <v>8</v>
      </c>
      <c r="F3" t="s">
        <v>72</v>
      </c>
      <c r="G3">
        <v>4206</v>
      </c>
      <c r="H3" s="1">
        <v>44743</v>
      </c>
      <c r="I3" t="s">
        <v>73</v>
      </c>
      <c r="J3" t="s">
        <v>74</v>
      </c>
      <c r="K3" t="s">
        <v>75</v>
      </c>
      <c r="L3">
        <v>500</v>
      </c>
      <c r="P3">
        <v>1</v>
      </c>
      <c r="Q3">
        <v>500</v>
      </c>
      <c r="R3" t="s">
        <v>76</v>
      </c>
      <c r="X3" t="s">
        <v>77</v>
      </c>
      <c r="Y3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D287B-5720-48AF-9E2A-9448EC874AF4}">
  <dimension ref="A3:D8"/>
  <sheetViews>
    <sheetView workbookViewId="0"/>
  </sheetViews>
  <sheetFormatPr baseColWidth="10" defaultRowHeight="15" x14ac:dyDescent="0.25"/>
  <cols>
    <col min="1" max="1" width="28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3" spans="1:4" x14ac:dyDescent="0.25">
      <c r="A3" s="3" t="s">
        <v>95</v>
      </c>
      <c r="B3" s="3" t="s">
        <v>79</v>
      </c>
    </row>
    <row r="4" spans="1:4" x14ac:dyDescent="0.25">
      <c r="A4" s="3" t="s">
        <v>81</v>
      </c>
      <c r="B4" t="s">
        <v>83</v>
      </c>
      <c r="C4" t="s">
        <v>93</v>
      </c>
      <c r="D4" t="s">
        <v>80</v>
      </c>
    </row>
    <row r="5" spans="1:4" x14ac:dyDescent="0.25">
      <c r="A5" s="4">
        <v>50204</v>
      </c>
      <c r="B5" s="7">
        <v>2735.44</v>
      </c>
      <c r="C5" s="7">
        <v>6901.56</v>
      </c>
      <c r="D5" s="7">
        <v>9637</v>
      </c>
    </row>
    <row r="6" spans="1:4" x14ac:dyDescent="0.25">
      <c r="A6" s="5" t="s">
        <v>72</v>
      </c>
      <c r="B6" s="7">
        <v>2735.44</v>
      </c>
      <c r="C6" s="7">
        <v>6901.56</v>
      </c>
      <c r="D6" s="7">
        <v>9637</v>
      </c>
    </row>
    <row r="7" spans="1:4" x14ac:dyDescent="0.25">
      <c r="A7" s="6" t="s">
        <v>73</v>
      </c>
      <c r="B7" s="7">
        <v>2735.44</v>
      </c>
      <c r="C7" s="7">
        <v>6901.56</v>
      </c>
      <c r="D7" s="7">
        <v>9637</v>
      </c>
    </row>
    <row r="8" spans="1:4" x14ac:dyDescent="0.25">
      <c r="A8" s="4" t="s">
        <v>80</v>
      </c>
      <c r="B8" s="7">
        <v>2735.44</v>
      </c>
      <c r="C8" s="7">
        <v>6901.56</v>
      </c>
      <c r="D8" s="7">
        <v>9637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3"/>
  <sheetViews>
    <sheetView workbookViewId="0">
      <selection sqref="A1:AA3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83</v>
      </c>
      <c r="B2" s="1">
        <v>44743</v>
      </c>
      <c r="C2" t="s">
        <v>84</v>
      </c>
      <c r="D2" s="8" t="s">
        <v>85</v>
      </c>
      <c r="E2">
        <v>50204</v>
      </c>
      <c r="F2">
        <v>12514</v>
      </c>
      <c r="G2" t="s">
        <v>72</v>
      </c>
      <c r="H2">
        <v>8</v>
      </c>
      <c r="I2" t="s">
        <v>86</v>
      </c>
      <c r="J2" t="s">
        <v>73</v>
      </c>
      <c r="K2">
        <v>7284452</v>
      </c>
      <c r="L2" t="s">
        <v>87</v>
      </c>
      <c r="M2" t="s">
        <v>88</v>
      </c>
      <c r="N2" t="s">
        <v>75</v>
      </c>
      <c r="O2">
        <v>2735.44</v>
      </c>
      <c r="P2" t="s">
        <v>89</v>
      </c>
      <c r="Q2">
        <v>7284452</v>
      </c>
      <c r="R2" t="s">
        <v>87</v>
      </c>
      <c r="S2">
        <v>2735.44</v>
      </c>
      <c r="U2">
        <v>1</v>
      </c>
      <c r="V2">
        <v>2735.44</v>
      </c>
      <c r="W2" t="s">
        <v>90</v>
      </c>
      <c r="X2" t="s">
        <v>91</v>
      </c>
      <c r="Z2" t="s">
        <v>77</v>
      </c>
      <c r="AA2" t="s">
        <v>92</v>
      </c>
    </row>
    <row r="3" spans="1:27" x14ac:dyDescent="0.25">
      <c r="A3" t="s">
        <v>93</v>
      </c>
      <c r="B3" s="1">
        <v>44743</v>
      </c>
      <c r="C3" t="s">
        <v>84</v>
      </c>
      <c r="D3" s="8" t="s">
        <v>85</v>
      </c>
      <c r="E3">
        <v>50204</v>
      </c>
      <c r="F3">
        <v>12514</v>
      </c>
      <c r="G3" t="s">
        <v>72</v>
      </c>
      <c r="H3">
        <v>8</v>
      </c>
      <c r="I3" t="s">
        <v>86</v>
      </c>
      <c r="J3" t="s">
        <v>73</v>
      </c>
      <c r="K3">
        <v>7284453</v>
      </c>
      <c r="L3" t="s">
        <v>94</v>
      </c>
      <c r="M3" t="s">
        <v>88</v>
      </c>
      <c r="N3" t="s">
        <v>75</v>
      </c>
      <c r="O3">
        <v>6901.56</v>
      </c>
      <c r="P3" t="s">
        <v>89</v>
      </c>
      <c r="Q3">
        <v>7284453</v>
      </c>
      <c r="R3" t="s">
        <v>94</v>
      </c>
      <c r="S3">
        <v>6901.56</v>
      </c>
      <c r="U3">
        <v>1</v>
      </c>
      <c r="V3">
        <v>6901.56</v>
      </c>
      <c r="W3" t="s">
        <v>90</v>
      </c>
      <c r="X3" t="s">
        <v>91</v>
      </c>
      <c r="Z3" t="s">
        <v>77</v>
      </c>
      <c r="AA3" t="s">
        <v>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790E0-F8D1-44CB-BB51-3A86B05F8C29}">
  <dimension ref="A3:H12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7" bestFit="1" customWidth="1"/>
    <col min="4" max="4" width="12.5703125" bestFit="1" customWidth="1"/>
    <col min="5" max="5" width="20.140625" bestFit="1" customWidth="1"/>
    <col min="6" max="7" width="18.5703125" bestFit="1" customWidth="1"/>
    <col min="8" max="8" width="12.5703125" bestFit="1" customWidth="1"/>
  </cols>
  <sheetData>
    <row r="3" spans="1:8" x14ac:dyDescent="0.25">
      <c r="A3" s="3" t="s">
        <v>82</v>
      </c>
      <c r="F3" s="3" t="s">
        <v>63</v>
      </c>
    </row>
    <row r="4" spans="1:8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102</v>
      </c>
      <c r="G4" t="s">
        <v>107</v>
      </c>
      <c r="H4" t="s">
        <v>80</v>
      </c>
    </row>
    <row r="5" spans="1:8" x14ac:dyDescent="0.25">
      <c r="A5" t="s">
        <v>97</v>
      </c>
      <c r="B5">
        <v>50204</v>
      </c>
      <c r="C5" s="9">
        <v>44771</v>
      </c>
      <c r="D5" t="s">
        <v>106</v>
      </c>
      <c r="E5" t="s">
        <v>126</v>
      </c>
      <c r="F5" s="7">
        <v>1914</v>
      </c>
      <c r="G5" s="7">
        <v>597</v>
      </c>
      <c r="H5" s="7">
        <v>2511</v>
      </c>
    </row>
    <row r="6" spans="1:8" x14ac:dyDescent="0.25">
      <c r="A6" t="s">
        <v>97</v>
      </c>
      <c r="B6">
        <v>50204</v>
      </c>
      <c r="C6" s="9">
        <v>44771</v>
      </c>
      <c r="D6" t="s">
        <v>127</v>
      </c>
      <c r="F6" s="7">
        <v>1914</v>
      </c>
      <c r="G6" s="7">
        <v>597</v>
      </c>
      <c r="H6" s="7">
        <v>2511</v>
      </c>
    </row>
    <row r="7" spans="1:8" x14ac:dyDescent="0.25">
      <c r="A7" t="s">
        <v>97</v>
      </c>
      <c r="B7">
        <v>50204</v>
      </c>
      <c r="C7" s="9">
        <v>44771</v>
      </c>
      <c r="D7" t="s">
        <v>101</v>
      </c>
      <c r="E7" t="s">
        <v>126</v>
      </c>
      <c r="F7" s="7">
        <v>100</v>
      </c>
      <c r="G7" s="7"/>
      <c r="H7" s="7">
        <v>100</v>
      </c>
    </row>
    <row r="8" spans="1:8" x14ac:dyDescent="0.25">
      <c r="A8" t="s">
        <v>97</v>
      </c>
      <c r="B8">
        <v>50204</v>
      </c>
      <c r="C8" s="9">
        <v>44771</v>
      </c>
      <c r="D8" t="s">
        <v>128</v>
      </c>
      <c r="F8" s="7">
        <v>100</v>
      </c>
      <c r="G8" s="7"/>
      <c r="H8" s="7">
        <v>100</v>
      </c>
    </row>
    <row r="9" spans="1:8" x14ac:dyDescent="0.25">
      <c r="A9" t="s">
        <v>97</v>
      </c>
      <c r="B9">
        <v>50204</v>
      </c>
      <c r="C9" s="9" t="s">
        <v>129</v>
      </c>
      <c r="F9" s="7">
        <v>2014</v>
      </c>
      <c r="G9" s="7">
        <v>597</v>
      </c>
      <c r="H9" s="7">
        <v>2611</v>
      </c>
    </row>
    <row r="10" spans="1:8" x14ac:dyDescent="0.25">
      <c r="A10" t="s">
        <v>97</v>
      </c>
      <c r="B10" t="s">
        <v>130</v>
      </c>
      <c r="F10" s="7">
        <v>2014</v>
      </c>
      <c r="G10" s="7">
        <v>597</v>
      </c>
      <c r="H10" s="7">
        <v>2611</v>
      </c>
    </row>
    <row r="11" spans="1:8" x14ac:dyDescent="0.25">
      <c r="A11" t="s">
        <v>131</v>
      </c>
      <c r="F11" s="7">
        <v>2014</v>
      </c>
      <c r="G11" s="7">
        <v>597</v>
      </c>
      <c r="H11" s="7">
        <v>2611</v>
      </c>
    </row>
    <row r="12" spans="1:8" x14ac:dyDescent="0.25">
      <c r="A12" t="s">
        <v>80</v>
      </c>
      <c r="F12" s="7">
        <v>2014</v>
      </c>
      <c r="G12" s="7">
        <v>597</v>
      </c>
      <c r="H12" s="7">
        <v>2611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8"/>
  <sheetViews>
    <sheetView workbookViewId="0">
      <selection sqref="A1:V8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96</v>
      </c>
      <c r="B2" t="s">
        <v>97</v>
      </c>
      <c r="C2">
        <v>50204</v>
      </c>
      <c r="D2">
        <v>8</v>
      </c>
      <c r="E2" s="9">
        <v>44771</v>
      </c>
      <c r="F2">
        <v>2146</v>
      </c>
      <c r="G2" s="8" t="s">
        <v>98</v>
      </c>
      <c r="J2" s="8" t="s">
        <v>99</v>
      </c>
      <c r="L2" t="s">
        <v>100</v>
      </c>
      <c r="M2" t="s">
        <v>101</v>
      </c>
      <c r="N2" t="s">
        <v>102</v>
      </c>
      <c r="P2">
        <v>10</v>
      </c>
      <c r="Q2" s="8" t="s">
        <v>103</v>
      </c>
      <c r="R2" s="8" t="s">
        <v>103</v>
      </c>
    </row>
    <row r="3" spans="1:22" x14ac:dyDescent="0.25">
      <c r="A3" t="s">
        <v>96</v>
      </c>
      <c r="B3" t="s">
        <v>97</v>
      </c>
      <c r="C3">
        <v>50204</v>
      </c>
      <c r="D3">
        <v>8</v>
      </c>
      <c r="E3" s="9">
        <v>44771</v>
      </c>
      <c r="F3">
        <v>2141</v>
      </c>
      <c r="G3" s="8" t="s">
        <v>104</v>
      </c>
      <c r="J3" s="8" t="s">
        <v>105</v>
      </c>
      <c r="L3" t="s">
        <v>100</v>
      </c>
      <c r="M3" t="s">
        <v>106</v>
      </c>
      <c r="N3" t="s">
        <v>107</v>
      </c>
      <c r="P3">
        <v>597</v>
      </c>
      <c r="Q3" s="8" t="s">
        <v>108</v>
      </c>
      <c r="R3" s="8" t="s">
        <v>103</v>
      </c>
      <c r="S3" t="s">
        <v>109</v>
      </c>
      <c r="T3" t="s">
        <v>110</v>
      </c>
      <c r="V3" t="s">
        <v>111</v>
      </c>
    </row>
    <row r="4" spans="1:22" x14ac:dyDescent="0.25">
      <c r="A4" t="s">
        <v>96</v>
      </c>
      <c r="B4" t="s">
        <v>97</v>
      </c>
      <c r="C4">
        <v>50204</v>
      </c>
      <c r="D4">
        <v>8</v>
      </c>
      <c r="E4" s="9">
        <v>44771</v>
      </c>
      <c r="F4">
        <v>2144</v>
      </c>
      <c r="G4" s="8" t="s">
        <v>112</v>
      </c>
      <c r="J4" s="8" t="s">
        <v>113</v>
      </c>
      <c r="L4" t="s">
        <v>100</v>
      </c>
      <c r="M4" t="s">
        <v>101</v>
      </c>
      <c r="N4" t="s">
        <v>102</v>
      </c>
      <c r="P4">
        <v>55</v>
      </c>
      <c r="Q4" s="8" t="s">
        <v>103</v>
      </c>
      <c r="R4" s="8" t="s">
        <v>103</v>
      </c>
    </row>
    <row r="5" spans="1:22" x14ac:dyDescent="0.25">
      <c r="A5" t="s">
        <v>96</v>
      </c>
      <c r="B5" t="s">
        <v>97</v>
      </c>
      <c r="C5">
        <v>50204</v>
      </c>
      <c r="D5">
        <v>8</v>
      </c>
      <c r="E5" s="9">
        <v>44771</v>
      </c>
      <c r="F5">
        <v>2152</v>
      </c>
      <c r="G5" s="8" t="s">
        <v>114</v>
      </c>
      <c r="J5" s="8" t="s">
        <v>115</v>
      </c>
      <c r="L5" t="s">
        <v>100</v>
      </c>
      <c r="M5" t="s">
        <v>106</v>
      </c>
      <c r="N5" t="s">
        <v>102</v>
      </c>
      <c r="P5">
        <v>1697</v>
      </c>
      <c r="Q5" s="8" t="s">
        <v>116</v>
      </c>
      <c r="R5" s="8" t="s">
        <v>103</v>
      </c>
      <c r="S5" t="s">
        <v>117</v>
      </c>
    </row>
    <row r="6" spans="1:22" x14ac:dyDescent="0.25">
      <c r="A6" t="s">
        <v>96</v>
      </c>
      <c r="B6" t="s">
        <v>97</v>
      </c>
      <c r="C6">
        <v>50204</v>
      </c>
      <c r="D6">
        <v>8</v>
      </c>
      <c r="E6" s="9">
        <v>44771</v>
      </c>
      <c r="F6">
        <v>2147</v>
      </c>
      <c r="G6" s="8" t="s">
        <v>118</v>
      </c>
      <c r="J6" s="8" t="s">
        <v>119</v>
      </c>
      <c r="L6" t="s">
        <v>100</v>
      </c>
      <c r="M6" t="s">
        <v>106</v>
      </c>
      <c r="N6" t="s">
        <v>102</v>
      </c>
      <c r="P6">
        <v>217</v>
      </c>
      <c r="Q6" s="8" t="s">
        <v>120</v>
      </c>
      <c r="R6" s="8" t="s">
        <v>103</v>
      </c>
      <c r="S6" t="s">
        <v>121</v>
      </c>
    </row>
    <row r="7" spans="1:22" x14ac:dyDescent="0.25">
      <c r="A7" t="s">
        <v>96</v>
      </c>
      <c r="B7" t="s">
        <v>97</v>
      </c>
      <c r="C7">
        <v>50204</v>
      </c>
      <c r="D7">
        <v>8</v>
      </c>
      <c r="E7" s="9">
        <v>44771</v>
      </c>
      <c r="F7">
        <v>2145</v>
      </c>
      <c r="G7" s="8" t="s">
        <v>122</v>
      </c>
      <c r="J7" s="8" t="s">
        <v>123</v>
      </c>
      <c r="L7" t="s">
        <v>100</v>
      </c>
      <c r="M7" t="s">
        <v>101</v>
      </c>
      <c r="N7" t="s">
        <v>102</v>
      </c>
      <c r="P7">
        <v>30</v>
      </c>
      <c r="Q7" s="8" t="s">
        <v>103</v>
      </c>
      <c r="R7" s="8" t="s">
        <v>103</v>
      </c>
    </row>
    <row r="8" spans="1:22" x14ac:dyDescent="0.25">
      <c r="A8" t="s">
        <v>96</v>
      </c>
      <c r="B8" t="s">
        <v>97</v>
      </c>
      <c r="C8">
        <v>50204</v>
      </c>
      <c r="D8">
        <v>8</v>
      </c>
      <c r="E8" s="9">
        <v>44771</v>
      </c>
      <c r="F8">
        <v>2153</v>
      </c>
      <c r="G8" s="8" t="s">
        <v>124</v>
      </c>
      <c r="J8" s="8" t="s">
        <v>125</v>
      </c>
      <c r="L8" t="s">
        <v>100</v>
      </c>
      <c r="M8" t="s">
        <v>101</v>
      </c>
      <c r="N8" t="s">
        <v>102</v>
      </c>
      <c r="P8">
        <v>5</v>
      </c>
      <c r="Q8" s="8" t="s">
        <v>103</v>
      </c>
      <c r="R8" s="8" t="s">
        <v>103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2022-08-01T16:05:27Z</dcterms:modified>
</cp:coreProperties>
</file>