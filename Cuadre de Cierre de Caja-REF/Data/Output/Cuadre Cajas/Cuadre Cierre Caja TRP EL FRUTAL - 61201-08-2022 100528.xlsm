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ian_coronado\Documents\UiPath\Cuadre de Cierre de Caja-REF\Data\Output\Cuadre Cajas\"/>
    </mc:Choice>
  </mc:AlternateContent>
  <xr:revisionPtr revIDLastSave="0" documentId="13_ncr:1_{00F54E62-3A24-447D-9840-A43D4A8AB230}" xr6:coauthVersionLast="47" xr6:coauthVersionMax="47" xr10:uidLastSave="{00000000-0000-0000-0000-000000000000}"/>
  <bookViews>
    <workbookView xWindow="390" yWindow="390" windowWidth="21600" windowHeight="11385" xr2:uid="{00000000-000D-0000-FFFF-FFFF00000000}"/>
  </bookViews>
  <sheets>
    <sheet name="Cierre" sheetId="6" r:id="rId1"/>
    <sheet name="tblTarjetas" sheetId="7" state="hidden" r:id="rId2"/>
    <sheet name="Tarjetas" sheetId="1" state="hidden" r:id="rId3"/>
    <sheet name="tblDepositos" sheetId="8" state="hidden" r:id="rId4"/>
    <sheet name="Depositos" sheetId="2" state="hidden" r:id="rId5"/>
    <sheet name="tblTransaccional" sheetId="9" state="hidden" r:id="rId6"/>
    <sheet name="Transaccional" sheetId="5" state="hidden" r:id="rId7"/>
  </sheets>
  <calcPr calcId="162913"/>
  <pivotCaches>
    <pivotCache cacheId="62" r:id="rId8"/>
    <pivotCache cacheId="63" r:id="rId9"/>
    <pivotCache cacheId="64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<sst xmlns="http://schemas.openxmlformats.org/spreadsheetml/2006/main" count="424" uniqueCount="177">
  <si>
    <t>NÚMERO TRANSACCION</t>
  </si>
  <si>
    <t>DESC CUENTA</t>
  </si>
  <si>
    <t>CENTRO ANALISIS</t>
  </si>
  <si>
    <t>RI</t>
  </si>
  <si>
    <t>NO CAJA</t>
  </si>
  <si>
    <t>DESC ALMACEN</t>
  </si>
  <si>
    <t>REFERENCIA</t>
  </si>
  <si>
    <t>PERIODO CONTABLE</t>
  </si>
  <si>
    <t>FECHA AUTORIZACIÓN</t>
  </si>
  <si>
    <t>TIPO PROMOCIÓN</t>
  </si>
  <si>
    <t>MONEDA</t>
  </si>
  <si>
    <t>MONTO</t>
  </si>
  <si>
    <t>NUMERO CONFIRMADO</t>
  </si>
  <si>
    <t>Monto Confirmado</t>
  </si>
  <si>
    <t>Diferencia</t>
  </si>
  <si>
    <t>TASA DE CAMBIO</t>
  </si>
  <si>
    <t>MONTO MNL</t>
  </si>
  <si>
    <t>ESTADO</t>
  </si>
  <si>
    <t>FECHA BANCO</t>
  </si>
  <si>
    <t>NÚMERO DE DEPOSITO</t>
  </si>
  <si>
    <t>NÚMERO CCF</t>
  </si>
  <si>
    <t>FECHA CONFIRMACION</t>
  </si>
  <si>
    <t>FECHA CONTABLE</t>
  </si>
  <si>
    <t>EMPLEADO</t>
  </si>
  <si>
    <t>ACTUALIZADO POR</t>
  </si>
  <si>
    <t>Compañia</t>
  </si>
  <si>
    <t>Período</t>
  </si>
  <si>
    <t>Tipo</t>
  </si>
  <si>
    <t>Número Transacción</t>
  </si>
  <si>
    <t>Centro Analisis</t>
  </si>
  <si>
    <t>Tienda</t>
  </si>
  <si>
    <t>Desc Almacen</t>
  </si>
  <si>
    <t>Caja</t>
  </si>
  <si>
    <t>Estado</t>
  </si>
  <si>
    <t>Fecha deposito</t>
  </si>
  <si>
    <t>Numero Deposito</t>
  </si>
  <si>
    <t>Numero Cuenta</t>
  </si>
  <si>
    <t>Desc Cuenta</t>
  </si>
  <si>
    <t>Moneda</t>
  </si>
  <si>
    <t>Monto</t>
  </si>
  <si>
    <t>Fecha Banco</t>
  </si>
  <si>
    <t>Número Déposito Confirmado</t>
  </si>
  <si>
    <t>Número Cuenta Confirmada</t>
  </si>
  <si>
    <t>Tasa de Cambio</t>
  </si>
  <si>
    <t>Monto MNL</t>
  </si>
  <si>
    <t>Motivo</t>
  </si>
  <si>
    <t>Fecha confirmacion</t>
  </si>
  <si>
    <t>Fecha Contabilización</t>
  </si>
  <si>
    <t>Empleado</t>
  </si>
  <si>
    <t>Actualizado por</t>
  </si>
  <si>
    <t>CADENA</t>
  </si>
  <si>
    <t>TIENDA</t>
  </si>
  <si>
    <t>CDA</t>
  </si>
  <si>
    <t>CAJA</t>
  </si>
  <si>
    <t>FECHA TRANSACCION</t>
  </si>
  <si>
    <t>CORRELATIVO CAJA</t>
  </si>
  <si>
    <t>No. TRANSACCION</t>
  </si>
  <si>
    <t>TRANSACCION ORIGINAL (Devolución)</t>
  </si>
  <si>
    <t>TRANSACCIÓN CAJA ORIGINAL(Devolución)</t>
  </si>
  <si>
    <t>No. DOCUMENTO</t>
  </si>
  <si>
    <t>NUMERO DE SOLICITUD</t>
  </si>
  <si>
    <t>TIPO DOCUMENTO</t>
  </si>
  <si>
    <t>TRANSACCIONES CAJA</t>
  </si>
  <si>
    <t>FORMA DE PAGO</t>
  </si>
  <si>
    <t>CODIGO DE RAZON</t>
  </si>
  <si>
    <t>NUM_COTIZACON</t>
  </si>
  <si>
    <t>NUM_CUENTA</t>
  </si>
  <si>
    <t>NOMBRE_CLIENTE</t>
  </si>
  <si>
    <t>BANCO</t>
  </si>
  <si>
    <t>AUTORIZACION</t>
  </si>
  <si>
    <t>PROMOCION</t>
  </si>
  <si>
    <t>Union Comercial de Guatemala, S.A. - Banco G&amp;T Continental, S.A.</t>
  </si>
  <si>
    <t>UNICOMER-ALMACENES TROPIGAS EL FRUTAL</t>
  </si>
  <si>
    <t>29/07/2022</t>
  </si>
  <si>
    <t>TARJETA</t>
  </si>
  <si>
    <t>GTQ</t>
  </si>
  <si>
    <t>NOC</t>
  </si>
  <si>
    <t>BLANCA EVELINA SOTO LOPEZ</t>
  </si>
  <si>
    <t>system</t>
  </si>
  <si>
    <t>Union Comercial de Guatemala, S.A. - Banco de America Central, S.A.</t>
  </si>
  <si>
    <t>CREDOMATIC 36 PAGOS</t>
  </si>
  <si>
    <t>ERALDO ANDRE VALDEZ DE LEON</t>
  </si>
  <si>
    <t>VISANET 18 PAGOS</t>
  </si>
  <si>
    <t>Etiquetas de columna</t>
  </si>
  <si>
    <t>Total general</t>
  </si>
  <si>
    <t>Etiquetas de fila</t>
  </si>
  <si>
    <t>Suma de MONTO</t>
  </si>
  <si>
    <t>UNICOSERVI</t>
  </si>
  <si>
    <t>CSH</t>
  </si>
  <si>
    <t>12612000029920220729</t>
  </si>
  <si>
    <t>CON</t>
  </si>
  <si>
    <t>000-000908-4</t>
  </si>
  <si>
    <t>Banco Industrial, S.A.</t>
  </si>
  <si>
    <t>30/07/2022</t>
  </si>
  <si>
    <t>Confirmación Automática</t>
  </si>
  <si>
    <t>31/07/2022</t>
  </si>
  <si>
    <t>CRISTIAN CORONADO</t>
  </si>
  <si>
    <t>UNICOMER</t>
  </si>
  <si>
    <t>000-063091-3</t>
  </si>
  <si>
    <t>JUAN MANUEL MENDEZ PAZ</t>
  </si>
  <si>
    <t>Suma de Monto</t>
  </si>
  <si>
    <t>TROPIGAS</t>
  </si>
  <si>
    <t>TRP EL FRUTAL</t>
  </si>
  <si>
    <t>12612070583620220729</t>
  </si>
  <si>
    <t>D392A1D21928414961</t>
  </si>
  <si>
    <t>Factura Consumidor Final</t>
  </si>
  <si>
    <t>Venta Cotización contado</t>
  </si>
  <si>
    <t>Tarjeta de Credito</t>
  </si>
  <si>
    <t>1261225022005Z</t>
  </si>
  <si>
    <t/>
  </si>
  <si>
    <t xml:space="preserve">ANDREA ISABEL  AJPACAJA CANO </t>
  </si>
  <si>
    <t>BANCO DE DESARROLLO RURAL, S.A</t>
  </si>
  <si>
    <t>Card</t>
  </si>
  <si>
    <t>12612070583520220729</t>
  </si>
  <si>
    <t>C9EA79603961537823</t>
  </si>
  <si>
    <t>Efectivo</t>
  </si>
  <si>
    <t>12612250220060</t>
  </si>
  <si>
    <t>12612070580620220729</t>
  </si>
  <si>
    <t>32C89C7F2497924571</t>
  </si>
  <si>
    <t>Ventas Contado</t>
  </si>
  <si>
    <t>MIRNA ELIZABETH HERNANDEZ PEREZ</t>
  </si>
  <si>
    <t>12612070583720220729</t>
  </si>
  <si>
    <t>3903AAA73496560351</t>
  </si>
  <si>
    <t>126122062205B7</t>
  </si>
  <si>
    <t xml:space="preserve">ERIS   ASENCIO  </t>
  </si>
  <si>
    <t>12612070580520220729</t>
  </si>
  <si>
    <t>54F693AC2669037917</t>
  </si>
  <si>
    <t>126122002200R7</t>
  </si>
  <si>
    <t>BANCO DE AMÉRICA CENTRAL, S.A</t>
  </si>
  <si>
    <t>Credomatic36Pagos</t>
  </si>
  <si>
    <t>12612070580720220729</t>
  </si>
  <si>
    <t>74158634383337516</t>
  </si>
  <si>
    <t>12612248220015</t>
  </si>
  <si>
    <t>12612070581220220729</t>
  </si>
  <si>
    <t>A8801D942891272031</t>
  </si>
  <si>
    <t>12612244220033</t>
  </si>
  <si>
    <t>JULIA VICTORIA SACU ECUTE</t>
  </si>
  <si>
    <t>BANCO INDUSTRIAL, S.A.|000-063</t>
  </si>
  <si>
    <t>12612070580120220729</t>
  </si>
  <si>
    <t>C71237BA2898808825</t>
  </si>
  <si>
    <t>126122052206R2</t>
  </si>
  <si>
    <t xml:space="preserve">BYRON   CATALAN  </t>
  </si>
  <si>
    <t>12612070581520220729</t>
  </si>
  <si>
    <t>A6B91DD51227571693</t>
  </si>
  <si>
    <t>126122052206R6</t>
  </si>
  <si>
    <t xml:space="preserve">AURA   JIMÉNEZ  </t>
  </si>
  <si>
    <t>12612070583020220729</t>
  </si>
  <si>
    <t>A6D701DB1890011982</t>
  </si>
  <si>
    <t>12612244220036</t>
  </si>
  <si>
    <t xml:space="preserve">JOAQUIN AUGUSTO  SERMEÑO GONZALEZ </t>
  </si>
  <si>
    <t>BANCO PROMERICA, S.A.|1-233105</t>
  </si>
  <si>
    <t>Visanet18Pagos</t>
  </si>
  <si>
    <t>12612070581020220729</t>
  </si>
  <si>
    <t>DCA473D81449346788</t>
  </si>
  <si>
    <t>126122052206R5</t>
  </si>
  <si>
    <t xml:space="preserve">JULIO LEONEL  HERRERA MONTENEGRO  </t>
  </si>
  <si>
    <t>12612070583220220729</t>
  </si>
  <si>
    <t>F96ADCA5723732535</t>
  </si>
  <si>
    <t>12612244220032</t>
  </si>
  <si>
    <t>(en blanco)</t>
  </si>
  <si>
    <t>Total Venta Cotización contado</t>
  </si>
  <si>
    <t>Total Ventas Contado</t>
  </si>
  <si>
    <t>Total 29/07/2022</t>
  </si>
  <si>
    <t>Total 60208</t>
  </si>
  <si>
    <t>Total TRP EL FRUTAL</t>
  </si>
  <si>
    <t>CIA</t>
  </si>
  <si>
    <t>INHOUSE DEP-TC</t>
  </si>
  <si>
    <t>INGRESOS CORTE DE CAJA</t>
  </si>
  <si>
    <t>CIERRE P.O.S.</t>
  </si>
  <si>
    <t>VENTAS TC INTERNET</t>
  </si>
  <si>
    <t>VISALINK</t>
  </si>
  <si>
    <t>TRASLADOS</t>
  </si>
  <si>
    <t>DIFERENCIA</t>
  </si>
  <si>
    <t>OBSERVACIÓN</t>
  </si>
  <si>
    <t>BLUESTART</t>
  </si>
  <si>
    <t>TARJETAS</t>
  </si>
  <si>
    <t>Columna1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</si>
</sst>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8"/>
      <color theme="1"/>
      <name val="Eras Medium ITC"/>
      <family val="2"/>
    </font>
  </fonts>
  <fills count="3">
    <fill>
      <patternFill patternType="none"/>
    </fill>
    <fill>
      <patternFill patternType="gray125"/>
    </fill>
    <fill>
      <patternFill patternType="solid">
        <fgColor rgb="FFCFE0F1"/>
      </patternFill>
    </fill>
  </fills>
  <borders count="2">
    <border>
      <left/>
      <right/>
      <top/>
      <bottom/>
      <diagonal/>
    </border>
    <border>
      <left style="thin">
        <color rgb="FF777777"/>
      </left>
      <right style="thin">
        <color rgb="FF777777"/>
      </right>
      <top/>
      <bottom style="thin">
        <color rgb="FF777777"/>
      </bottom>
      <diagonal/>
    </border>
  </borders>
  <cellStyleXfs count="1">
    <xf numFmtId="0" fontId="0" fillId="0" borderId="0"/>
  </cellStyleXfs>
  <cellXfs count="10">
    <xf numFmtId="0" fontId="0" fillId="0" borderId="0" xfId="0"/>
    <xf numFmtId="17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3" fontId="0" fillId="0" borderId="0" xfId="0" applyNumberFormat="1"/>
    <xf numFmtId="0" fontId="0" fillId="0" borderId="0" xfId="0" quotePrefix="1"/>
    <xf numFmtId="14" fontId="0" fillId="0" borderId="0" xfId="0" applyNumberFormat="1"/>
  </cellXfs>
  <cellStyles count="1">
    <cellStyle name="Normal" xfId="0" builtinId="0"/>
  </cellStyles>
  <dxfs count="12">
    <dxf>
      <numFmt numFmtId="164" formatCode="m/d/yy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  <dxf>
      <numFmt numFmtId="22" formatCode="mmm\-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  <dxf>
      <numFmt numFmtId="22" formatCode="mmm\-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20482175927" createdVersion="3" refreshedVersion="8" minRefreshableVersion="3" recordCount="13" xr:uid="{9ABFA251-D32F-4374-B9AC-6EFECCFF9E7E}">
  <cacheSource type="worksheet">
    <worksheetSource name="Tabla1"/>
  </cacheSource>
  <cacheFields count="25">
    <cacheField name="NÚMERO TRANSACCION" numFmtId="0">
      <sharedItems containsSemiMixedTypes="0" containsString="0" containsNumber="1" containsInteger="1" minValue="1.2612070580120199E+19" maxValue="1.26120705836202E+19"/>
    </cacheField>
    <cacheField name="DESC CUENTA" numFmtId="0">
      <sharedItems/>
    </cacheField>
    <cacheField name="CENTRO ANALISIS" numFmtId="0">
      <sharedItems containsSemiMixedTypes="0" containsString="0" containsNumber="1" containsInteger="1" minValue="60208" maxValue="60208" count="1">
        <n v="60208"/>
      </sharedItems>
    </cacheField>
    <cacheField name="RI" numFmtId="0">
      <sharedItems containsSemiMixedTypes="0" containsString="0" containsNumber="1" containsInteger="1" minValue="612" maxValue="612"/>
    </cacheField>
    <cacheField name="NO CAJA" numFmtId="0">
      <sharedItems containsSemiMixedTypes="0" containsString="0" containsNumber="1" containsInteger="1" minValue="70" maxValue="70"/>
    </cacheField>
    <cacheField name="DESC ALMACEN" numFmtId="0">
      <sharedItems count="1">
        <s v="UNICOMER-ALMACENES TROPIGAS EL FRUTAL"/>
      </sharedItems>
    </cacheField>
    <cacheField name="REFERENCIA" numFmtId="0">
      <sharedItems containsSemiMixedTypes="0" containsString="0" containsNumber="1" containsInteger="1" minValue="23090" maxValue="820544"/>
    </cacheField>
    <cacheField name="PERIODO CONTABLE" numFmtId="17">
      <sharedItems containsSemiMixedTypes="0" containsNonDate="0" containsDate="1" containsString="0" minDate="2022-07-01T00:00:00" maxDate="2022-07-02T00:00:00"/>
    </cacheField>
    <cacheField name="FECHA AUTORIZACIÓN" numFmtId="0">
      <sharedItems count="1">
        <s v="29/07/2022"/>
      </sharedItems>
    </cacheField>
    <cacheField name="TIPO PROMOCIÓN" numFmtId="0">
      <sharedItems/>
    </cacheField>
    <cacheField name="MONEDA" numFmtId="0">
      <sharedItems/>
    </cacheField>
    <cacheField name="MONTO" numFmtId="0">
      <sharedItems containsSemiMixedTypes="0" containsString="0" containsNumber="1" minValue="93" maxValue="13759"/>
    </cacheField>
    <cacheField name="NUMERO CONFIRMADO" numFmtId="0">
      <sharedItems containsNonDate="0" containsString="0" containsBlank="1"/>
    </cacheField>
    <cacheField name="Monto Confirmado" numFmtId="0">
      <sharedItems containsNonDate="0" containsString="0" containsBlank="1"/>
    </cacheField>
    <cacheField name="Diferencia" numFmtId="0">
      <sharedItems containsNonDate="0" containsString="0" containsBlank="1"/>
    </cacheField>
    <cacheField name="TASA DE CAMBIO" numFmtId="0">
      <sharedItems containsSemiMixedTypes="0" containsString="0" containsNumber="1" containsInteger="1" minValue="1" maxValue="1"/>
    </cacheField>
    <cacheField name="MONTO MNL" numFmtId="0">
      <sharedItems containsSemiMixedTypes="0" containsString="0" containsNumber="1" minValue="93" maxValue="13759"/>
    </cacheField>
    <cacheField name="ESTADO" numFmtId="0">
      <sharedItems count="1">
        <s v="NOC"/>
      </sharedItems>
    </cacheField>
    <cacheField name="FECHA BANCO" numFmtId="0">
      <sharedItems containsNonDate="0" containsString="0" containsBlank="1"/>
    </cacheField>
    <cacheField name="NÚMERO DE DEPOSITO" numFmtId="0">
      <sharedItems containsNonDate="0" containsString="0" containsBlank="1"/>
    </cacheField>
    <cacheField name="NÚMERO CCF" numFmtId="0">
      <sharedItems containsNonDate="0" containsString="0" containsBlank="1"/>
    </cacheField>
    <cacheField name="FECHA CONFIRMACION" numFmtId="0">
      <sharedItems containsNonDate="0" containsString="0" containsBlank="1"/>
    </cacheField>
    <cacheField name="FECHA CONTABLE" numFmtId="0">
      <sharedItems containsNonDate="0" containsString="0" containsBlank="1"/>
    </cacheField>
    <cacheField name="EMPLEADO" numFmtId="0">
      <sharedItems/>
    </cacheField>
    <cacheField name="ACTUALIZADO PO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20510300923" createdVersion="3" refreshedVersion="8" minRefreshableVersion="3" recordCount="2" xr:uid="{E8CA1792-3D88-4701-AB68-C92238BE2FFC}">
  <cacheSource type="worksheet">
    <worksheetSource name="Tabla2"/>
  </cacheSource>
  <cacheFields count="27">
    <cacheField name="Compañia" numFmtId="0">
      <sharedItems count="2">
        <s v="UNICOSERVI"/>
        <s v="UNICOMER"/>
      </sharedItems>
    </cacheField>
    <cacheField name="Período" numFmtId="17">
      <sharedItems containsSemiMixedTypes="0" containsNonDate="0" containsDate="1" containsString="0" minDate="2022-07-01T00:00:00" maxDate="2022-07-02T00:00:00"/>
    </cacheField>
    <cacheField name="Tipo" numFmtId="0">
      <sharedItems/>
    </cacheField>
    <cacheField name="Número Transacción" numFmtId="0">
      <sharedItems/>
    </cacheField>
    <cacheField name="Centro Analisis" numFmtId="0">
      <sharedItems containsSemiMixedTypes="0" containsString="0" containsNumber="1" containsInteger="1" minValue="60208" maxValue="60208" count="1">
        <n v="60208"/>
      </sharedItems>
    </cacheField>
    <cacheField name="Tienda" numFmtId="0">
      <sharedItems containsSemiMixedTypes="0" containsString="0" containsNumber="1" containsInteger="1" minValue="12612" maxValue="12612"/>
    </cacheField>
    <cacheField name="Desc Almacen" numFmtId="0">
      <sharedItems count="1">
        <s v="UNICOMER-ALMACENES TROPIGAS EL FRUTAL"/>
      </sharedItems>
    </cacheField>
    <cacheField name="Caja" numFmtId="0">
      <sharedItems containsSemiMixedTypes="0" containsString="0" containsNumber="1" containsInteger="1" minValue="70" maxValue="70"/>
    </cacheField>
    <cacheField name="Estado" numFmtId="0">
      <sharedItems/>
    </cacheField>
    <cacheField name="Fecha deposito" numFmtId="0">
      <sharedItems count="1">
        <s v="29/07/2022"/>
      </sharedItems>
    </cacheField>
    <cacheField name="Numero Deposito" numFmtId="0">
      <sharedItems containsSemiMixedTypes="0" containsString="0" containsNumber="1" containsInteger="1" minValue="85138021" maxValue="85138023"/>
    </cacheField>
    <cacheField name="Numero Cuenta" numFmtId="0">
      <sharedItems/>
    </cacheField>
    <cacheField name="Desc Cuenta" numFmtId="0">
      <sharedItems/>
    </cacheField>
    <cacheField name="Moneda" numFmtId="0">
      <sharedItems/>
    </cacheField>
    <cacheField name="Monto" numFmtId="0">
      <sharedItems containsSemiMixedTypes="0" containsString="0" containsNumber="1" minValue="5554.17" maxValue="16182.31"/>
    </cacheField>
    <cacheField name="Fecha Banco" numFmtId="0">
      <sharedItems/>
    </cacheField>
    <cacheField name="Número Déposito Confirmado" numFmtId="0">
      <sharedItems containsSemiMixedTypes="0" containsString="0" containsNumber="1" containsInteger="1" minValue="85138021" maxValue="85138023"/>
    </cacheField>
    <cacheField name="Número Cuenta Confirmada" numFmtId="0">
      <sharedItems/>
    </cacheField>
    <cacheField name="Monto Confirmado" numFmtId="0">
      <sharedItems containsSemiMixedTypes="0" containsString="0" containsNumber="1" minValue="5554.17" maxValue="16182.31"/>
    </cacheField>
    <cacheField name="Diferencia" numFmtId="0">
      <sharedItems containsNonDate="0" containsString="0" containsBlank="1"/>
    </cacheField>
    <cacheField name="Tasa de Cambio" numFmtId="0">
      <sharedItems containsSemiMixedTypes="0" containsString="0" containsNumber="1" containsInteger="1" minValue="1" maxValue="1"/>
    </cacheField>
    <cacheField name="Monto MNL" numFmtId="0">
      <sharedItems containsSemiMixedTypes="0" containsString="0" containsNumber="1" minValue="5554.17" maxValue="16182.31"/>
    </cacheField>
    <cacheField name="Motivo" numFmtId="0">
      <sharedItems/>
    </cacheField>
    <cacheField name="Fecha confirmacion" numFmtId="0">
      <sharedItems/>
    </cacheField>
    <cacheField name="Fecha Contabilización" numFmtId="0">
      <sharedItems containsNonDate="0" containsString="0" containsBlank="1"/>
    </cacheField>
    <cacheField name="Empleado" numFmtId="0">
      <sharedItems/>
    </cacheField>
    <cacheField name="Actualizado po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20572453702" createdVersion="3" refreshedVersion="8" minRefreshableVersion="3" recordCount="12" xr:uid="{77C9A1EB-19D9-42B7-8310-C2883A844371}">
  <cacheSource type="worksheet">
    <worksheetSource name="Tabla3"/>
  </cacheSource>
  <cacheFields count="22">
    <cacheField name="CADENA" numFmtId="0">
      <sharedItems/>
    </cacheField>
    <cacheField name="TIENDA" numFmtId="0">
      <sharedItems count="1">
        <s v="TRP EL FRUTAL"/>
      </sharedItems>
    </cacheField>
    <cacheField name="CDA" numFmtId="0">
      <sharedItems containsSemiMixedTypes="0" containsString="0" containsNumber="1" containsInteger="1" minValue="60208" maxValue="60208" count="1">
        <n v="60208"/>
      </sharedItems>
    </cacheField>
    <cacheField name="CAJA" numFmtId="0">
      <sharedItems containsSemiMixedTypes="0" containsString="0" containsNumber="1" containsInteger="1" minValue="70" maxValue="70"/>
    </cacheField>
    <cacheField name="FECHA TRANSACCION" numFmtId="14">
      <sharedItems containsSemiMixedTypes="0" containsNonDate="0" containsDate="1" containsString="0" minDate="2022-07-29T00:00:00" maxDate="2022-07-30T00:00:00" count="1">
        <d v="2022-07-29T00:00:00"/>
      </sharedItems>
    </cacheField>
    <cacheField name="CORRELATIVO CAJA" numFmtId="0">
      <sharedItems containsSemiMixedTypes="0" containsString="0" containsNumber="1" containsInteger="1" minValue="5801" maxValue="5837"/>
    </cacheField>
    <cacheField name="No. TRANSACCION" numFmtId="0">
      <sharedItems/>
    </cacheField>
    <cacheField name="TRANSACCION ORIGINAL (Devolución)" numFmtId="0">
      <sharedItems containsNonDate="0" containsString="0" containsBlank="1"/>
    </cacheField>
    <cacheField name="TRANSACCIÓN CAJA ORIGINAL(Devolución)" numFmtId="0">
      <sharedItems containsNonDate="0" containsString="0" containsBlank="1"/>
    </cacheField>
    <cacheField name="No. DOCUMENTO" numFmtId="0">
      <sharedItems/>
    </cacheField>
    <cacheField name="NUMERO DE SOLICITUD" numFmtId="0">
      <sharedItems containsNonDate="0" containsString="0" containsBlank="1"/>
    </cacheField>
    <cacheField name="TIPO DOCUMENTO" numFmtId="0">
      <sharedItems/>
    </cacheField>
    <cacheField name="TRANSACCIONES CAJA" numFmtId="0">
      <sharedItems count="2">
        <s v="Venta Cotización contado"/>
        <s v="Ventas Contado"/>
      </sharedItems>
    </cacheField>
    <cacheField name="FORMA DE PAGO" numFmtId="0">
      <sharedItems count="2">
        <s v="Tarjeta de Credito"/>
        <s v="Efectivo"/>
      </sharedItems>
    </cacheField>
    <cacheField name="CODIGO DE RAZON" numFmtId="0">
      <sharedItems containsNonDate="0" containsString="0" containsBlank="1" count="1">
        <m/>
      </sharedItems>
    </cacheField>
    <cacheField name="MONTO" numFmtId="0">
      <sharedItems containsSemiMixedTypes="0" containsString="0" containsNumber="1" containsInteger="1" minValue="87" maxValue="13759"/>
    </cacheField>
    <cacheField name="NUM_COTIZACON" numFmtId="0">
      <sharedItems/>
    </cacheField>
    <cacheField name="NUM_CUENTA" numFmtId="0">
      <sharedItems/>
    </cacheField>
    <cacheField name="NOMBRE_CLIENTE" numFmtId="0">
      <sharedItems/>
    </cacheField>
    <cacheField name="BANCO" numFmtId="0">
      <sharedItems containsBlank="1"/>
    </cacheField>
    <cacheField name="AUTORIZACION" numFmtId="0">
      <sharedItems containsNonDate="0" containsString="0" containsBlank="1"/>
    </cacheField>
    <cacheField name="PROMOC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n v="1.2612070583220199E+19"/>
    <s v="Union Comercial de Guatemala, S.A. - Banco G&amp;T Continental, S.A."/>
    <x v="0"/>
    <n v="612"/>
    <n v="70"/>
    <x v="0"/>
    <n v="256991"/>
    <d v="2022-07-01T00:00:00"/>
    <x v="0"/>
    <s v="TARJETA"/>
    <s v="GTQ"/>
    <n v="114"/>
    <m/>
    <m/>
    <m/>
    <n v="1"/>
    <n v="114"/>
    <x v="0"/>
    <m/>
    <m/>
    <m/>
    <m/>
    <m/>
    <s v="BLANCA EVELINA SOTO LOPEZ"/>
    <s v="system"/>
  </r>
  <r>
    <n v="1.26120705805202E+19"/>
    <s v="Union Comercial de Guatemala, S.A. - Banco de America Central, S.A."/>
    <x v="0"/>
    <n v="612"/>
    <n v="70"/>
    <x v="0"/>
    <n v="199517"/>
    <d v="2022-07-01T00:00:00"/>
    <x v="0"/>
    <s v="CREDOMATIC 36 PAGOS"/>
    <s v="GTQ"/>
    <n v="13759"/>
    <m/>
    <m/>
    <m/>
    <n v="1"/>
    <n v="13759"/>
    <x v="0"/>
    <m/>
    <m/>
    <m/>
    <m/>
    <m/>
    <s v="ERALDO ANDRE VALDEZ DE LEON"/>
    <s v="system"/>
  </r>
  <r>
    <n v="1.2612070582620201E+19"/>
    <s v="Union Comercial de Guatemala, S.A. - Banco G&amp;T Continental, S.A."/>
    <x v="0"/>
    <n v="612"/>
    <n v="70"/>
    <x v="0"/>
    <n v="278481"/>
    <d v="2022-07-01T00:00:00"/>
    <x v="0"/>
    <s v="TARJETA"/>
    <s v="GTQ"/>
    <n v="737"/>
    <m/>
    <m/>
    <m/>
    <n v="1"/>
    <n v="737"/>
    <x v="0"/>
    <m/>
    <m/>
    <m/>
    <m/>
    <m/>
    <s v="BLANCA EVELINA SOTO LOPEZ"/>
    <s v="system"/>
  </r>
  <r>
    <n v="1.26120705836202E+19"/>
    <s v="Union Comercial de Guatemala, S.A. - Banco G&amp;T Continental, S.A."/>
    <x v="0"/>
    <n v="612"/>
    <n v="70"/>
    <x v="0"/>
    <n v="121071"/>
    <d v="2022-07-01T00:00:00"/>
    <x v="0"/>
    <s v="TARJETA"/>
    <s v="GTQ"/>
    <n v="4497"/>
    <m/>
    <m/>
    <m/>
    <n v="1"/>
    <n v="4497"/>
    <x v="0"/>
    <m/>
    <m/>
    <m/>
    <m/>
    <m/>
    <s v="BLANCA EVELINA SOTO LOPEZ"/>
    <s v="system"/>
  </r>
  <r>
    <n v="1.26120705812202E+19"/>
    <s v="Union Comercial de Guatemala, S.A. - Banco G&amp;T Continental, S.A."/>
    <x v="0"/>
    <n v="612"/>
    <n v="70"/>
    <x v="0"/>
    <n v="246899"/>
    <d v="2022-07-01T00:00:00"/>
    <x v="0"/>
    <s v="TARJETA"/>
    <s v="GTQ"/>
    <n v="114"/>
    <m/>
    <m/>
    <m/>
    <n v="1"/>
    <n v="114"/>
    <x v="0"/>
    <m/>
    <m/>
    <m/>
    <m/>
    <m/>
    <s v="ERALDO ANDRE VALDEZ DE LEON"/>
    <s v="system"/>
  </r>
  <r>
    <n v="1.2612070582420199E+19"/>
    <s v="Union Comercial de Guatemala, S.A. - Banco G&amp;T Continental, S.A."/>
    <x v="0"/>
    <n v="612"/>
    <n v="70"/>
    <x v="0"/>
    <n v="23090"/>
    <d v="2022-07-01T00:00:00"/>
    <x v="0"/>
    <s v="TARJETA"/>
    <s v="GTQ"/>
    <n v="93"/>
    <m/>
    <m/>
    <m/>
    <n v="1"/>
    <n v="93"/>
    <x v="0"/>
    <m/>
    <m/>
    <m/>
    <m/>
    <m/>
    <s v="BLANCA EVELINA SOTO LOPEZ"/>
    <s v="system"/>
  </r>
  <r>
    <n v="1.2612070580320201E+19"/>
    <s v="Union Comercial de Guatemala, S.A. - Banco G&amp;T Continental, S.A."/>
    <x v="0"/>
    <n v="612"/>
    <n v="70"/>
    <x v="0"/>
    <n v="211422"/>
    <d v="2022-07-01T00:00:00"/>
    <x v="0"/>
    <s v="TARJETA"/>
    <s v="GTQ"/>
    <n v="715"/>
    <m/>
    <m/>
    <m/>
    <n v="1"/>
    <n v="715"/>
    <x v="0"/>
    <m/>
    <m/>
    <m/>
    <m/>
    <m/>
    <s v="BLANCA EVELINA SOTO LOPEZ"/>
    <s v="system"/>
  </r>
  <r>
    <n v="1.26120705830202E+19"/>
    <s v="Union Comercial de Guatemala, S.A. - Banco G&amp;T Continental, S.A."/>
    <x v="0"/>
    <n v="612"/>
    <n v="70"/>
    <x v="0"/>
    <n v="564868"/>
    <d v="2022-07-01T00:00:00"/>
    <x v="0"/>
    <s v="VISANET 18 PAGOS"/>
    <s v="GTQ"/>
    <n v="4998.5"/>
    <m/>
    <m/>
    <m/>
    <n v="1"/>
    <n v="4998.5"/>
    <x v="0"/>
    <m/>
    <m/>
    <m/>
    <m/>
    <m/>
    <s v="BLANCA EVELINA SOTO LOPEZ"/>
    <s v="system"/>
  </r>
  <r>
    <n v="1.26120705830202E+19"/>
    <s v="Union Comercial de Guatemala, S.A. - Banco G&amp;T Continental, S.A."/>
    <x v="0"/>
    <n v="612"/>
    <n v="70"/>
    <x v="0"/>
    <n v="732594"/>
    <d v="2022-07-01T00:00:00"/>
    <x v="0"/>
    <s v="VISANET 18 PAGOS"/>
    <s v="GTQ"/>
    <n v="4998.5"/>
    <m/>
    <m/>
    <m/>
    <n v="1"/>
    <n v="4998.5"/>
    <x v="0"/>
    <m/>
    <m/>
    <m/>
    <m/>
    <m/>
    <s v="BLANCA EVELINA SOTO LOPEZ"/>
    <s v="system"/>
  </r>
  <r>
    <n v="1.2612070581120201E+19"/>
    <s v="Union Comercial de Guatemala, S.A. - Banco G&amp;T Continental, S.A."/>
    <x v="0"/>
    <n v="612"/>
    <n v="70"/>
    <x v="0"/>
    <n v="612871"/>
    <d v="2022-07-01T00:00:00"/>
    <x v="0"/>
    <s v="TARJETA"/>
    <s v="GTQ"/>
    <n v="100"/>
    <m/>
    <m/>
    <m/>
    <n v="1"/>
    <n v="100"/>
    <x v="0"/>
    <m/>
    <m/>
    <m/>
    <m/>
    <m/>
    <s v="ERALDO ANDRE VALDEZ DE LEON"/>
    <s v="system"/>
  </r>
  <r>
    <n v="1.2612070580120199E+19"/>
    <s v="Union Comercial de Guatemala, S.A. - Banco G&amp;T Continental, S.A."/>
    <x v="0"/>
    <n v="612"/>
    <n v="70"/>
    <x v="0"/>
    <n v="820544"/>
    <d v="2022-07-01T00:00:00"/>
    <x v="0"/>
    <s v="TARJETA"/>
    <s v="GTQ"/>
    <n v="749"/>
    <m/>
    <m/>
    <m/>
    <n v="1"/>
    <n v="749"/>
    <x v="0"/>
    <m/>
    <m/>
    <m/>
    <m/>
    <m/>
    <s v="BLANCA EVELINA SOTO LOPEZ"/>
    <s v="system"/>
  </r>
  <r>
    <n v="1.2612070582520199E+19"/>
    <s v="Union Comercial de Guatemala, S.A. - Banco G&amp;T Continental, S.A."/>
    <x v="0"/>
    <n v="612"/>
    <n v="70"/>
    <x v="0"/>
    <n v="239027"/>
    <d v="2022-07-01T00:00:00"/>
    <x v="0"/>
    <s v="TARJETA"/>
    <s v="GTQ"/>
    <n v="122"/>
    <m/>
    <m/>
    <m/>
    <n v="1"/>
    <n v="122"/>
    <x v="0"/>
    <m/>
    <m/>
    <m/>
    <m/>
    <m/>
    <s v="BLANCA EVELINA SOTO LOPEZ"/>
    <s v="system"/>
  </r>
  <r>
    <n v="1.26120705823202E+19"/>
    <s v="Union Comercial de Guatemala, S.A. - Banco G&amp;T Continental, S.A."/>
    <x v="0"/>
    <n v="612"/>
    <n v="70"/>
    <x v="0"/>
    <n v="23090"/>
    <d v="2022-07-01T00:00:00"/>
    <x v="0"/>
    <s v="TARJETA"/>
    <s v="GTQ"/>
    <n v="657"/>
    <m/>
    <m/>
    <m/>
    <n v="1"/>
    <n v="657"/>
    <x v="0"/>
    <m/>
    <m/>
    <m/>
    <m/>
    <m/>
    <s v="BLANCA EVELINA SOTO LOPEZ"/>
    <s v="system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d v="2022-07-01T00:00:00"/>
    <s v="CSH"/>
    <s v="12612000029920220729"/>
    <x v="0"/>
    <n v="12612"/>
    <x v="0"/>
    <n v="70"/>
    <s v="CON"/>
    <x v="0"/>
    <n v="85138021"/>
    <s v="000-000908-4"/>
    <s v="Banco Industrial, S.A."/>
    <s v="GTQ"/>
    <n v="16182.31"/>
    <s v="30/07/2022"/>
    <n v="85138021"/>
    <s v="000-000908-4"/>
    <n v="16182.31"/>
    <m/>
    <n v="1"/>
    <n v="16182.31"/>
    <s v="Confirmación Automática"/>
    <s v="31/07/2022"/>
    <m/>
    <s v="ERALDO ANDRE VALDEZ DE LEON"/>
    <s v="CRISTIAN CORONADO"/>
  </r>
  <r>
    <x v="1"/>
    <d v="2022-07-01T00:00:00"/>
    <s v="CSH"/>
    <s v="12612000029920220729"/>
    <x v="0"/>
    <n v="12612"/>
    <x v="0"/>
    <n v="70"/>
    <s v="CON"/>
    <x v="0"/>
    <n v="85138023"/>
    <s v="000-063091-3"/>
    <s v="Banco Industrial, S.A."/>
    <s v="GTQ"/>
    <n v="5554.17"/>
    <s v="30/07/2022"/>
    <n v="85138023"/>
    <s v="000-063091-3"/>
    <n v="5554.17"/>
    <m/>
    <n v="1"/>
    <n v="5554.17"/>
    <s v="Confirmación Automática"/>
    <s v="31/07/2022"/>
    <m/>
    <s v="ERALDO ANDRE VALDEZ DE LEON"/>
    <s v="JUAN MANUEL MENDEZ PAZ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s v="TROPIGAS"/>
    <x v="0"/>
    <x v="0"/>
    <n v="70"/>
    <x v="0"/>
    <n v="5836"/>
    <s v="12612070583620220729"/>
    <m/>
    <m/>
    <s v="D392A1D21928414961"/>
    <m/>
    <s v="Factura Consumidor Final"/>
    <x v="0"/>
    <x v="0"/>
    <x v="0"/>
    <n v="4497"/>
    <s v="1261225022005Z"/>
    <s v=""/>
    <s v="ANDREA ISABEL  AJPACAJA CANO "/>
    <s v="BANCO DE DESARROLLO RURAL, S.A"/>
    <m/>
    <s v="Card"/>
  </r>
  <r>
    <s v="TROPIGAS"/>
    <x v="0"/>
    <x v="0"/>
    <n v="70"/>
    <x v="0"/>
    <n v="5835"/>
    <s v="12612070583520220729"/>
    <m/>
    <m/>
    <s v="C9EA79603961537823"/>
    <m/>
    <s v="Factura Consumidor Final"/>
    <x v="0"/>
    <x v="1"/>
    <x v="0"/>
    <n v="197"/>
    <s v="12612250220060"/>
    <s v=""/>
    <s v="ANDREA ISABEL  AJPACAJA CANO "/>
    <m/>
    <m/>
    <m/>
  </r>
  <r>
    <s v="TROPIGAS"/>
    <x v="0"/>
    <x v="0"/>
    <n v="70"/>
    <x v="0"/>
    <n v="5806"/>
    <s v="12612070580620220729"/>
    <m/>
    <m/>
    <s v="32C89C7F2497924571"/>
    <m/>
    <s v="Factura Consumidor Final"/>
    <x v="1"/>
    <x v="1"/>
    <x v="0"/>
    <n v="150"/>
    <s v=""/>
    <s v=""/>
    <s v="MIRNA ELIZABETH HERNANDEZ PEREZ"/>
    <m/>
    <m/>
    <m/>
  </r>
  <r>
    <s v="TROPIGAS"/>
    <x v="0"/>
    <x v="0"/>
    <n v="70"/>
    <x v="0"/>
    <n v="5837"/>
    <s v="12612070583720220729"/>
    <m/>
    <m/>
    <s v="3903AAA73496560351"/>
    <m/>
    <s v="Factura Consumidor Final"/>
    <x v="0"/>
    <x v="1"/>
    <x v="0"/>
    <n v="87"/>
    <s v="126122062205B7"/>
    <s v=""/>
    <s v="ERIS   ASENCIO  "/>
    <m/>
    <m/>
    <m/>
  </r>
  <r>
    <s v="TROPIGAS"/>
    <x v="0"/>
    <x v="0"/>
    <n v="70"/>
    <x v="0"/>
    <n v="5805"/>
    <s v="12612070580520220729"/>
    <m/>
    <m/>
    <s v="54F693AC2669037917"/>
    <m/>
    <s v="Factura Consumidor Final"/>
    <x v="0"/>
    <x v="0"/>
    <x v="0"/>
    <n v="13759"/>
    <s v="126122002200R7"/>
    <s v=""/>
    <s v="MIRNA ELIZABETH HERNANDEZ PEREZ"/>
    <s v="BANCO DE AMÉRICA CENTRAL, S.A"/>
    <m/>
    <s v="Credomatic36Pagos"/>
  </r>
  <r>
    <s v="TROPIGAS"/>
    <x v="0"/>
    <x v="0"/>
    <n v="70"/>
    <x v="0"/>
    <n v="5807"/>
    <s v="12612070580720220729"/>
    <m/>
    <m/>
    <s v="74158634383337516"/>
    <m/>
    <s v="Factura Consumidor Final"/>
    <x v="0"/>
    <x v="1"/>
    <x v="0"/>
    <n v="277"/>
    <s v="12612248220015"/>
    <s v=""/>
    <s v="MIRNA ELIZABETH HERNANDEZ PEREZ"/>
    <m/>
    <m/>
    <m/>
  </r>
  <r>
    <s v="TROPIGAS"/>
    <x v="0"/>
    <x v="0"/>
    <n v="70"/>
    <x v="0"/>
    <n v="5812"/>
    <s v="12612070581220220729"/>
    <m/>
    <m/>
    <s v="A8801D942891272031"/>
    <m/>
    <s v="Factura Consumidor Final"/>
    <x v="0"/>
    <x v="0"/>
    <x v="0"/>
    <n v="114"/>
    <s v="12612244220033"/>
    <s v=""/>
    <s v="JULIA VICTORIA SACU ECUTE"/>
    <s v="BANCO INDUSTRIAL, S.A.|000-063"/>
    <m/>
    <s v="Card"/>
  </r>
  <r>
    <s v="TROPIGAS"/>
    <x v="0"/>
    <x v="0"/>
    <n v="70"/>
    <x v="0"/>
    <n v="5801"/>
    <s v="12612070580120220729"/>
    <m/>
    <m/>
    <s v="C71237BA2898808825"/>
    <m/>
    <s v="Factura Consumidor Final"/>
    <x v="0"/>
    <x v="0"/>
    <x v="0"/>
    <n v="749"/>
    <s v="126122052206R2"/>
    <s v=""/>
    <s v="BYRON   CATALAN  "/>
    <s v="BANCO DE DESARROLLO RURAL, S.A"/>
    <m/>
    <s v="Card"/>
  </r>
  <r>
    <s v="TROPIGAS"/>
    <x v="0"/>
    <x v="0"/>
    <n v="70"/>
    <x v="0"/>
    <n v="5815"/>
    <s v="12612070581520220729"/>
    <m/>
    <m/>
    <s v="A6B91DD51227571693"/>
    <m/>
    <s v="Factura Consumidor Final"/>
    <x v="0"/>
    <x v="1"/>
    <x v="0"/>
    <n v="117"/>
    <s v="126122052206R6"/>
    <s v=""/>
    <s v="AURA   JIMÉNEZ  "/>
    <m/>
    <m/>
    <m/>
  </r>
  <r>
    <s v="TROPIGAS"/>
    <x v="0"/>
    <x v="0"/>
    <n v="70"/>
    <x v="0"/>
    <n v="5830"/>
    <s v="12612070583020220729"/>
    <m/>
    <m/>
    <s v="A6D701DB1890011982"/>
    <m/>
    <s v="Factura Consumidor Final"/>
    <x v="0"/>
    <x v="0"/>
    <x v="0"/>
    <n v="9997"/>
    <s v="12612244220036"/>
    <s v=""/>
    <s v="JOAQUIN AUGUSTO  SERMEÑO GONZALEZ "/>
    <s v="BANCO PROMERICA, S.A.|1-233105"/>
    <m/>
    <s v="Visanet18Pagos"/>
  </r>
  <r>
    <s v="TROPIGAS"/>
    <x v="0"/>
    <x v="0"/>
    <n v="70"/>
    <x v="0"/>
    <n v="5810"/>
    <s v="12612070581020220729"/>
    <m/>
    <m/>
    <s v="DCA473D81449346788"/>
    <m/>
    <s v="Factura Consumidor Final"/>
    <x v="0"/>
    <x v="1"/>
    <x v="0"/>
    <n v="4597"/>
    <s v="126122052206R5"/>
    <s v=""/>
    <s v="JULIO LEONEL  HERRERA MONTENEGRO  "/>
    <m/>
    <m/>
    <m/>
  </r>
  <r>
    <s v="TROPIGAS"/>
    <x v="0"/>
    <x v="0"/>
    <n v="70"/>
    <x v="0"/>
    <n v="5832"/>
    <s v="12612070583220220729"/>
    <m/>
    <m/>
    <s v="F96ADCA5723732535"/>
    <m/>
    <s v="Factura Consumidor Final"/>
    <x v="0"/>
    <x v="0"/>
    <x v="0"/>
    <n v="114"/>
    <s v="12612244220032"/>
    <s v=""/>
    <s v="ERALDO ANDRE VALDEZ DE LEON"/>
    <s v="BANCO INDUSTRIAL, S.A.|000-063"/>
    <m/>
    <s v="Car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0DF006-EBCE-45E9-865B-46A2A0AAC06F}" name="Tbl Dinamica Tarjetas" cacheId="62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A3:C8" firstHeaderRow="1" firstDataRow="2" firstDataCol="1"/>
  <pivotFields count="25"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numFmtId="17" showAll="0"/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3">
    <field x="2"/>
    <field x="5"/>
    <field x="8"/>
  </rowFields>
  <rowItems count="4">
    <i>
      <x/>
    </i>
    <i r="1">
      <x/>
    </i>
    <i r="2">
      <x/>
    </i>
    <i t="grand">
      <x/>
    </i>
  </rowItems>
  <colFields count="1">
    <field x="17"/>
  </colFields>
  <colItems count="2">
    <i>
      <x/>
    </i>
    <i t="grand">
      <x/>
    </i>
  </colItems>
  <dataFields count="1">
    <dataField name="Suma de MONTO" fld="11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C8CB18-BDEB-498D-9E2D-409BA8DBA354}" name="Tbl Dinamica Depositos" cacheId="63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A3:D8" firstHeaderRow="1" firstDataRow="2" firstDataCol="1"/>
  <pivotFields count="27">
    <pivotField axis="axisCol" showAll="0">
      <items count="3">
        <item x="1"/>
        <item x="0"/>
        <item t="default"/>
      </items>
    </pivotField>
    <pivotField numFmtId="17" showAll="0"/>
    <pivotField showAll="0"/>
    <pivotField showAll="0"/>
    <pivotField axis="axisRow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4"/>
    <field x="6"/>
    <field x="9"/>
  </rowFields>
  <rowItems count="4">
    <i>
      <x/>
    </i>
    <i r="1">
      <x/>
    </i>
    <i r="2">
      <x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Suma de Monto" fld="14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92D115-C0B3-4C39-A84A-1BB4DEFF0D16}" name="Tbl Dinamica Transaccional" cacheId="64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compact="0" compactData="0" multipleFieldFilters="0">
  <location ref="A3:H12" firstHeaderRow="1" firstDataRow="2" firstDataCol="5"/>
  <pivotFields count="22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4"/>
    <field x="12"/>
    <field x="14"/>
  </rowFields>
  <rowItems count="8">
    <i>
      <x/>
      <x/>
      <x/>
      <x/>
      <x/>
    </i>
    <i t="default" r="3">
      <x/>
    </i>
    <i r="3">
      <x v="1"/>
      <x/>
    </i>
    <i t="default" r="3">
      <x v="1"/>
    </i>
    <i t="default" r="2">
      <x/>
    </i>
    <i t="default" r="1">
      <x/>
    </i>
    <i t="default">
      <x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Suma de MONTO" fld="15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D3B096B-8E2E-4210-88F1-3164B78520D1}" name="Tabla4" displayName="Tabla4" ref="A1:R9" totalsRowShown="0">
  <autoFilter ref="A1:R9" xr:uid="{3D3B096B-8E2E-4210-88F1-3164B78520D1}"/>
  <tableColumns count="18">
    <tableColumn id="1" xr3:uid="{AF70066B-D9D3-4C91-9954-56D443FC5241}" name="TIENDA"/>
    <tableColumn id="2" xr3:uid="{C7FE9A81-F85E-4E8F-9D91-BB871DA51595}" name="CDA"/>
    <tableColumn id="3" xr3:uid="{714FE231-4F71-4019-AE18-F170DD142A1A}" name="FECHA TRANSACCION"/>
    <tableColumn id="4" xr3:uid="{D0C477F9-1947-4EB5-BD56-78C743DB4560}" name="TRANSACCIONES CAJA"/>
    <tableColumn id="5" xr3:uid="{4EF13351-0860-45BE-AE4E-44C18FDFBDF3}" name="CODIGO DE RAZON"/>
    <tableColumn id="6" xr3:uid="{084273B7-3D1C-44E9-A7E5-10FC8452EBFD}" name="Efectivo"/>
    <tableColumn id="7" xr3:uid="{2F670326-69CD-4E95-8B2D-29E2B35A7FED}" name="Tarjeta de Credito"/>
    <tableColumn id="8" xr3:uid="{8C330786-9C28-44B5-92F8-65E2EF03AE1A}" name="Total general"/>
    <tableColumn id="9" xr3:uid="{407CF391-016E-4127-8E9C-2B7871D4BE50}" name="CIA"/>
    <tableColumn id="10" xr3:uid="{E6414574-A52D-4CC4-A82C-F2C4B3979F8B}" name="INHOUSE DEP-TC"/>
    <tableColumn id="11" xr3:uid="{8D5943D6-0259-45C4-9C7B-381BB5D8EF28}" name="INGRESOS CORTE DE CAJA"/>
    <tableColumn id="12" xr3:uid="{C62185DF-0DCF-41CA-98BE-0F0365DB6CBC}" name="CIERRE P.O.S."/>
    <tableColumn id="13" xr3:uid="{CCE01BD0-DD46-4EFA-88D6-94BEE9F6AAAC}" name="VENTAS TC INTERNET"/>
    <tableColumn id="14" xr3:uid="{176866F9-7870-4C32-A14A-C0AF90936D1E}" name="VISALINK"/>
    <tableColumn id="15" xr3:uid="{8C6D962F-E215-4CA9-B21A-4B6A69B2E6E1}" name="TRASLADOS"/>
    <tableColumn id="16" xr3:uid="{5BDBEB05-C9CE-4C14-8149-77F5785C6567}" name="DIFERENCIA"/>
    <tableColumn id="17" xr3:uid="{132DC633-270B-44B7-8472-D11D1EDFA1DE}" name="OBSERVACIÓN"/>
    <tableColumn id="18" xr3:uid="{670CC712-5C71-410B-834E-6AF36D58102A}" name="Columna1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6C3527-9E59-4142-9E51-6B1CA0B97D40}" name="Tabla1" displayName="Tabla1" ref="A1:Y14" totalsRowShown="0" headerRowDxfId="11" headerRowBorderDxfId="10" tableBorderDxfId="9">
  <autoFilter ref="A1:Y14" xr:uid="{926C3527-9E59-4142-9E51-6B1CA0B97D40}"/>
  <tableColumns count="25">
    <tableColumn id="1" xr3:uid="{67D4010A-AE07-4A6A-911D-B6BB12618B1A}" name="NÚMERO TRANSACCION"/>
    <tableColumn id="2" xr3:uid="{BABA409E-05F1-4D8F-9AC2-F8EE498AEE1E}" name="DESC CUENTA"/>
    <tableColumn id="3" xr3:uid="{AAE126D3-EBBC-4F47-81E5-F6ED6B1C3A9D}" name="CENTRO ANALISIS"/>
    <tableColumn id="4" xr3:uid="{99B35EE3-8E21-45B4-B333-1800CBC33953}" name="RI"/>
    <tableColumn id="5" xr3:uid="{64832B9D-2B65-4F71-9353-D05D48E9CDCE}" name="NO CAJA"/>
    <tableColumn id="6" xr3:uid="{1D5B02BF-87B6-40C1-A819-B1E48D48EE0E}" name="DESC ALMACEN"/>
    <tableColumn id="7" xr3:uid="{AB8CCDAF-52C9-4CC1-8D5B-112634742639}" name="REFERENCIA"/>
    <tableColumn id="8" xr3:uid="{08AC9055-53B0-44D0-BA15-D015882A37E2}" name="PERIODO CONTABLE" dataDxfId="8"/>
    <tableColumn id="9" xr3:uid="{0E1437B4-5836-4F58-B141-B83B2A07878A}" name="FECHA AUTORIZACIÓN"/>
    <tableColumn id="10" xr3:uid="{EB2D1109-6033-459B-A5EC-28FC16A12D59}" name="TIPO PROMOCIÓN"/>
    <tableColumn id="11" xr3:uid="{8A8D8F8A-DABE-4D61-8072-E44329C940D1}" name="MONEDA"/>
    <tableColumn id="12" xr3:uid="{5B6A9D65-4F57-4194-8E25-C4CB56AB03A8}" name="MONTO"/>
    <tableColumn id="13" xr3:uid="{35F3B0B8-8497-4AF6-BD33-F03DFB838EB3}" name="NUMERO CONFIRMADO"/>
    <tableColumn id="14" xr3:uid="{2CA08401-334F-49D1-9290-FA1B35F57700}" name="Monto Confirmado"/>
    <tableColumn id="15" xr3:uid="{E1F7C93F-1412-4193-830C-E35DD31A6061}" name="Diferencia"/>
    <tableColumn id="16" xr3:uid="{FDE7E826-0DE4-4402-A348-80E695F7EF89}" name="TASA DE CAMBIO"/>
    <tableColumn id="17" xr3:uid="{69AEE80C-3931-483F-8EDC-C515B3426188}" name="MONTO MNL"/>
    <tableColumn id="18" xr3:uid="{7C77A4C1-86E5-41E2-8039-E086C4E2085E}" name="ESTADO"/>
    <tableColumn id="19" xr3:uid="{BCAB429B-A987-4002-95C0-D7D0800D5E9B}" name="FECHA BANCO"/>
    <tableColumn id="20" xr3:uid="{A204F90B-3F21-4FDB-BAE3-510DC4DC7A6B}" name="NÚMERO DE DEPOSITO"/>
    <tableColumn id="21" xr3:uid="{7CA4B6DE-1472-4514-9E3C-012A22CE4CB8}" name="NÚMERO CCF"/>
    <tableColumn id="22" xr3:uid="{11322566-68B5-413C-81C2-E59E401B3358}" name="FECHA CONFIRMACION"/>
    <tableColumn id="23" xr3:uid="{3F3B207C-42D1-4E73-B05D-73114B39F85E}" name="FECHA CONTABLE"/>
    <tableColumn id="24" xr3:uid="{4FE01E52-D014-4AFF-B0BB-15FC9A26F979}" name="EMPLEADO"/>
    <tableColumn id="25" xr3:uid="{90D32B40-22CD-4AB9-8C36-5A3117F29B5C}" name="ACTUALIZADO POR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97D6DA-8529-4DB0-90F4-17F03E4FA151}" name="Tabla2" displayName="Tabla2" ref="A1:AA3" totalsRowShown="0" headerRowDxfId="7" headerRowBorderDxfId="6" tableBorderDxfId="5">
  <autoFilter ref="A1:AA3" xr:uid="{CF97D6DA-8529-4DB0-90F4-17F03E4FA151}"/>
  <tableColumns count="27">
    <tableColumn id="1" xr3:uid="{FB3DA6E2-B7A4-43A1-BA96-F50E385237A0}" name="Compañia"/>
    <tableColumn id="2" xr3:uid="{AC8F0EA7-5CBB-437F-BA91-C3096C8836A9}" name="Período" dataDxfId="4"/>
    <tableColumn id="3" xr3:uid="{6291680E-8A3C-45F3-A9DD-54044C9AF7D8}" name="Tipo"/>
    <tableColumn id="4" xr3:uid="{941A2D9F-7142-4A05-87A1-6B11E0A56131}" name="Número Transacción"/>
    <tableColumn id="5" xr3:uid="{D423EE36-BDDA-4A2B-9DC1-9D04DA7D9338}" name="Centro Analisis"/>
    <tableColumn id="6" xr3:uid="{5F8A380F-0F1A-4EB7-8D78-61B6C082BC02}" name="Tienda"/>
    <tableColumn id="7" xr3:uid="{801FC251-F7C0-4E88-A20F-1F2054C41AC7}" name="Desc Almacen"/>
    <tableColumn id="8" xr3:uid="{952456D2-184C-4418-B960-289CE591B74A}" name="Caja"/>
    <tableColumn id="9" xr3:uid="{7C3A9093-3C77-4A76-BF72-486FB642C5BD}" name="Estado"/>
    <tableColumn id="10" xr3:uid="{FDBBEA7F-CB72-410A-8F6A-0249176B61E4}" name="Fecha deposito"/>
    <tableColumn id="11" xr3:uid="{009BB2FC-2944-4C51-AA3F-78295E72633A}" name="Numero Deposito"/>
    <tableColumn id="12" xr3:uid="{43882F7B-A74A-41F4-90A1-1B24C6C04695}" name="Numero Cuenta"/>
    <tableColumn id="13" xr3:uid="{617BDBB4-85AC-4C07-AB5D-270B27112108}" name="Desc Cuenta"/>
    <tableColumn id="14" xr3:uid="{4E03DB4E-B4F3-46AB-B22B-6433846497E1}" name="Moneda"/>
    <tableColumn id="15" xr3:uid="{506A98D0-7B3C-4D69-8387-EC4FCB5BFD93}" name="Monto"/>
    <tableColumn id="16" xr3:uid="{EE27D5E2-0391-4203-B705-5E0AA35581C1}" name="Fecha Banco"/>
    <tableColumn id="17" xr3:uid="{C333469D-2BBF-45FE-9E84-6A368916D5A1}" name="Número Déposito Confirmado"/>
    <tableColumn id="18" xr3:uid="{326DD292-D780-429F-8ABE-DEE8B9740176}" name="Número Cuenta Confirmada"/>
    <tableColumn id="19" xr3:uid="{60AD1F6E-9614-47F8-9DE5-F19C50D8BF0E}" name="Monto Confirmado"/>
    <tableColumn id="20" xr3:uid="{A7C7E892-0D47-45A4-BAFC-7FE09C6A36C8}" name="Diferencia"/>
    <tableColumn id="21" xr3:uid="{FDE67DE3-F862-45B4-AC79-8DBA96FAA184}" name="Tasa de Cambio"/>
    <tableColumn id="22" xr3:uid="{6BB6FD6D-6EC4-45FD-80AA-1D897868E622}" name="Monto MNL"/>
    <tableColumn id="23" xr3:uid="{B2EA6C04-7230-4ED5-A76C-6289F8E4B48B}" name="Motivo"/>
    <tableColumn id="24" xr3:uid="{24502E27-5A42-4BA9-96C1-D3E3ACE33362}" name="Fecha confirmacion"/>
    <tableColumn id="25" xr3:uid="{9CA072D5-571D-4902-95ED-4EC7FFE5F14E}" name="Fecha Contabilización"/>
    <tableColumn id="26" xr3:uid="{87717E99-DBE4-45E8-ACAC-E688BFB691E5}" name="Empleado"/>
    <tableColumn id="27" xr3:uid="{75FB3D34-A87F-4AD8-A29F-9F87A2AE1F39}" name="Actualizado por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AFEBC02-9453-44C9-8014-8BAD2CB84337}" name="Tabla3" displayName="Tabla3" ref="A1:V13" totalsRowShown="0" headerRowDxfId="3" headerRowBorderDxfId="2" tableBorderDxfId="1">
  <autoFilter ref="A1:V13" xr:uid="{3AFEBC02-9453-44C9-8014-8BAD2CB84337}"/>
  <tableColumns count="22">
    <tableColumn id="1" xr3:uid="{E6237E99-C70B-43DE-868E-A46902926A27}" name="CADENA"/>
    <tableColumn id="2" xr3:uid="{793F8A6D-7F54-4B1F-A3EE-102CEA99F7B8}" name="TIENDA"/>
    <tableColumn id="3" xr3:uid="{76A4EFB0-2CBA-42BD-BA4D-C4E524FEC207}" name="CDA"/>
    <tableColumn id="4" xr3:uid="{6BA4B882-F31D-4A5E-92E8-843EF15A6D2C}" name="CAJA"/>
    <tableColumn id="5" xr3:uid="{DB54403A-E079-41A5-890F-559692140E20}" name="FECHA TRANSACCION" dataDxfId="0"/>
    <tableColumn id="6" xr3:uid="{25B1B837-28B7-4306-BE60-C4BD13A6C8F6}" name="CORRELATIVO CAJA"/>
    <tableColumn id="7" xr3:uid="{4B385194-112F-47B2-80DD-7B8B14ACBF53}" name="No. TRANSACCION"/>
    <tableColumn id="8" xr3:uid="{67F9AB97-A36E-4F79-87F5-280B8F924ACE}" name="TRANSACCION ORIGINAL (Devolución)"/>
    <tableColumn id="9" xr3:uid="{F0C7E60F-B1DA-4192-91A6-CA0C2C259542}" name="TRANSACCIÓN CAJA ORIGINAL(Devolución)"/>
    <tableColumn id="10" xr3:uid="{BCC22DEC-935C-45B6-9757-5723491DD749}" name="No. DOCUMENTO"/>
    <tableColumn id="11" xr3:uid="{16F5FB58-ED3D-47F6-A04E-95F6EDFFB882}" name="NUMERO DE SOLICITUD"/>
    <tableColumn id="12" xr3:uid="{686CFA44-DDC2-46F9-BCED-B89C7684630E}" name="TIPO DOCUMENTO"/>
    <tableColumn id="13" xr3:uid="{01159199-BF4C-47F2-94F9-829838948CDB}" name="TRANSACCIONES CAJA"/>
    <tableColumn id="14" xr3:uid="{52B07C99-F971-457F-AEC4-5839A0A75BB4}" name="FORMA DE PAGO"/>
    <tableColumn id="15" xr3:uid="{852B98AF-AD49-4840-A1EC-9E6D7FF6B5E1}" name="CODIGO DE RAZON"/>
    <tableColumn id="16" xr3:uid="{DA5DACEB-9500-4DB5-8C4C-97BA7D3D108A}" name="MONTO"/>
    <tableColumn id="17" xr3:uid="{E5501811-7C00-44B7-B4BB-67B574A6C9EC}" name="NUM_COTIZACON"/>
    <tableColumn id="18" xr3:uid="{7EDF25DA-0270-4CFC-927D-8A8FFDF53D04}" name="NUM_CUENTA"/>
    <tableColumn id="19" xr3:uid="{4964BA95-364A-40E0-9FF9-B8558DCEE48E}" name="NOMBRE_CLIENTE"/>
    <tableColumn id="20" xr3:uid="{2934CDC1-091F-410C-9B73-1C6C8F98B6BE}" name="BANCO"/>
    <tableColumn id="21" xr3:uid="{34A94975-67DC-404B-AAA3-59A7642C2D5A}" name="AUTORIZACION"/>
    <tableColumn id="22" xr3:uid="{06A90932-EFFF-46E4-930D-437749535113}" name="PROMOCION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B9AD7-6B5D-4CFE-919D-F766F5F1A1DA}">
  <sheetPr codeName="Hoja2"/>
  <dimension ref="A1:R9"/>
  <sheetViews>
    <sheetView tabSelected="1" workbookViewId="0">
      <selection sqref="A1:R9"/>
    </sheetView>
  </sheetViews>
  <sheetFormatPr baseColWidth="10" defaultRowHeight="15" x14ac:dyDescent="0.25"/>
  <cols>
    <col min="3" max="3" width="22.140625" customWidth="1"/>
    <col min="4" max="4" width="22.85546875" customWidth="1"/>
    <col min="5" max="5" width="19.85546875" customWidth="1"/>
    <col min="7" max="7" width="19" customWidth="1"/>
    <col min="8" max="8" width="14.7109375" customWidth="1"/>
    <col min="10" max="10" width="18" customWidth="1"/>
    <col min="11" max="11" width="25.85546875" customWidth="1"/>
    <col min="12" max="12" width="14.85546875" customWidth="1"/>
    <col min="13" max="13" width="21.7109375" customWidth="1"/>
    <col min="15" max="15" width="13.42578125" customWidth="1"/>
    <col min="16" max="16" width="13.5703125" customWidth="1"/>
    <col min="17" max="17" width="16" customWidth="1"/>
    <col min="18" max="18" width="12" customWidth="1"/>
  </cols>
  <sheetData>
    <row r="1" spans="1:18" x14ac:dyDescent="0.25">
      <c r="A1" t="s">
        <v>51</v>
      </c>
      <c r="B1" t="s">
        <v>52</v>
      </c>
      <c r="C1" t="s">
        <v>54</v>
      </c>
      <c r="D1" t="s">
        <v>62</v>
      </c>
      <c r="E1" t="s">
        <v>64</v>
      </c>
      <c r="F1" t="s">
        <v>115</v>
      </c>
      <c r="G1" t="s">
        <v>107</v>
      </c>
      <c r="H1" t="s">
        <v>84</v>
      </c>
      <c r="I1" t="s">
        <v>165</v>
      </c>
      <c r="J1" t="s">
        <v>166</v>
      </c>
      <c r="K1" t="s">
        <v>167</v>
      </c>
      <c r="L1" t="s">
        <v>168</v>
      </c>
      <c r="M1" t="s">
        <v>169</v>
      </c>
      <c r="N1" t="s">
        <v>170</v>
      </c>
      <c r="O1" t="s">
        <v>171</v>
      </c>
      <c r="P1" t="s">
        <v>172</v>
      </c>
      <c r="Q1" t="s">
        <v>173</v>
      </c>
      <c r="R1" t="s">
        <v>176</v>
      </c>
    </row>
    <row r="2" spans="1:18" x14ac:dyDescent="0.25">
      <c r="A2" t="s">
        <v>102</v>
      </c>
      <c r="B2">
        <v>60208</v>
      </c>
      <c r="C2" s="9">
        <v>44771</v>
      </c>
      <c r="D2" t="s">
        <v>106</v>
      </c>
      <c r="E2" t="s">
        <v>159</v>
      </c>
      <c r="F2">
        <v>5275</v>
      </c>
      <c r="G2">
        <v>29230</v>
      </c>
      <c r="H2">
        <v>34505</v>
      </c>
      <c r="I2" t="s">
        <v>87</v>
      </c>
    </row>
    <row r="3" spans="1:18" x14ac:dyDescent="0.25">
      <c r="A3" t="s">
        <v>102</v>
      </c>
      <c r="B3">
        <v>60208</v>
      </c>
      <c r="C3" s="9">
        <v>44771</v>
      </c>
      <c r="D3" t="s">
        <v>160</v>
      </c>
      <c r="F3">
        <v>5275</v>
      </c>
      <c r="G3">
        <v>29230</v>
      </c>
      <c r="H3">
        <v>34505</v>
      </c>
      <c r="I3" t="s">
        <v>174</v>
      </c>
    </row>
    <row r="4" spans="1:18" x14ac:dyDescent="0.25">
      <c r="A4" t="s">
        <v>102</v>
      </c>
      <c r="B4">
        <v>60208</v>
      </c>
      <c r="C4" s="9">
        <v>44771</v>
      </c>
      <c r="D4" t="s">
        <v>119</v>
      </c>
      <c r="E4" t="s">
        <v>159</v>
      </c>
      <c r="F4">
        <v>150</v>
      </c>
      <c r="H4">
        <v>150</v>
      </c>
      <c r="I4" t="s">
        <v>175</v>
      </c>
    </row>
    <row r="5" spans="1:18" x14ac:dyDescent="0.25">
      <c r="A5" t="s">
        <v>102</v>
      </c>
      <c r="B5">
        <v>60208</v>
      </c>
      <c r="C5" s="9">
        <v>44771</v>
      </c>
      <c r="D5" t="s">
        <v>161</v>
      </c>
      <c r="F5">
        <v>150</v>
      </c>
      <c r="H5">
        <v>150</v>
      </c>
    </row>
    <row r="6" spans="1:18" x14ac:dyDescent="0.25">
      <c r="A6" t="s">
        <v>102</v>
      </c>
      <c r="B6">
        <v>60208</v>
      </c>
      <c r="C6" t="s">
        <v>162</v>
      </c>
      <c r="F6">
        <v>5425</v>
      </c>
      <c r="G6">
        <v>29230</v>
      </c>
      <c r="H6">
        <v>34655</v>
      </c>
      <c r="I6" t="s">
        <v>97</v>
      </c>
    </row>
    <row r="7" spans="1:18" x14ac:dyDescent="0.25">
      <c r="A7" t="s">
        <v>102</v>
      </c>
      <c r="B7" t="s">
        <v>163</v>
      </c>
      <c r="F7">
        <v>5425</v>
      </c>
      <c r="G7">
        <v>29230</v>
      </c>
      <c r="H7">
        <v>34655</v>
      </c>
      <c r="I7" t="s">
        <v>87</v>
      </c>
    </row>
    <row r="8" spans="1:18" x14ac:dyDescent="0.25">
      <c r="A8" t="s">
        <v>164</v>
      </c>
      <c r="F8">
        <v>5425</v>
      </c>
      <c r="G8">
        <v>29230</v>
      </c>
      <c r="H8">
        <v>34655</v>
      </c>
      <c r="I8" t="s">
        <v>174</v>
      </c>
    </row>
    <row r="9" spans="1:18" x14ac:dyDescent="0.25">
      <c r="A9" t="s">
        <v>84</v>
      </c>
      <c r="F9">
        <v>5425</v>
      </c>
      <c r="G9">
        <v>29230</v>
      </c>
      <c r="H9">
        <v>34655</v>
      </c>
      <c r="I9" t="s">
        <v>175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9D350-1498-4D3C-8880-AD489B872571}">
  <dimension ref="A3:C8"/>
  <sheetViews>
    <sheetView workbookViewId="0"/>
  </sheetViews>
  <sheetFormatPr baseColWidth="10" defaultRowHeight="15" x14ac:dyDescent="0.25"/>
  <cols>
    <col min="1" max="1" width="46" bestFit="1" customWidth="1"/>
    <col min="2" max="2" width="22.42578125" bestFit="1" customWidth="1"/>
    <col min="3" max="3" width="12.5703125" bestFit="1" customWidth="1"/>
  </cols>
  <sheetData>
    <row r="3" spans="1:3" x14ac:dyDescent="0.25">
      <c r="A3" s="3" t="s">
        <v>86</v>
      </c>
      <c r="B3" s="3" t="s">
        <v>83</v>
      </c>
    </row>
    <row r="4" spans="1:3" x14ac:dyDescent="0.25">
      <c r="A4" s="3" t="s">
        <v>85</v>
      </c>
      <c r="B4" t="s">
        <v>76</v>
      </c>
      <c r="C4" t="s">
        <v>84</v>
      </c>
    </row>
    <row r="5" spans="1:3" x14ac:dyDescent="0.25">
      <c r="A5" s="4">
        <v>60208</v>
      </c>
      <c r="B5" s="7">
        <v>31654</v>
      </c>
      <c r="C5" s="7">
        <v>31654</v>
      </c>
    </row>
    <row r="6" spans="1:3" x14ac:dyDescent="0.25">
      <c r="A6" s="5" t="s">
        <v>72</v>
      </c>
      <c r="B6" s="7">
        <v>31654</v>
      </c>
      <c r="C6" s="7">
        <v>31654</v>
      </c>
    </row>
    <row r="7" spans="1:3" x14ac:dyDescent="0.25">
      <c r="A7" s="6" t="s">
        <v>73</v>
      </c>
      <c r="B7" s="7">
        <v>31654</v>
      </c>
      <c r="C7" s="7">
        <v>31654</v>
      </c>
    </row>
    <row r="8" spans="1:3" x14ac:dyDescent="0.25">
      <c r="A8" s="4" t="s">
        <v>84</v>
      </c>
      <c r="B8" s="7">
        <v>31654</v>
      </c>
      <c r="C8" s="7">
        <v>31654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14"/>
  <sheetViews>
    <sheetView workbookViewId="0">
      <selection sqref="A1:Y14"/>
    </sheetView>
  </sheetViews>
  <sheetFormatPr baseColWidth="10" defaultColWidth="9.140625" defaultRowHeight="15" x14ac:dyDescent="0.25"/>
  <cols>
    <col min="1" max="1" width="23.42578125" customWidth="1"/>
    <col min="2" max="2" width="15.5703125" customWidth="1"/>
    <col min="3" max="3" width="18.5703125" customWidth="1"/>
    <col min="4" max="4" width="12" customWidth="1"/>
    <col min="5" max="5" width="11" customWidth="1"/>
    <col min="6" max="6" width="17.140625" customWidth="1"/>
    <col min="7" max="7" width="13.42578125" customWidth="1"/>
    <col min="8" max="8" width="20.5703125" customWidth="1"/>
    <col min="9" max="9" width="22.7109375" customWidth="1"/>
    <col min="10" max="10" width="18.42578125" customWidth="1"/>
    <col min="11" max="11" width="10.85546875" customWidth="1"/>
    <col min="12" max="12" width="9.7109375" customWidth="1"/>
    <col min="13" max="13" width="23" customWidth="1"/>
    <col min="14" max="14" width="18.5703125" customWidth="1"/>
    <col min="15" max="15" width="11.85546875" customWidth="1"/>
    <col min="16" max="16" width="18" customWidth="1"/>
    <col min="17" max="17" width="14.5703125" customWidth="1"/>
    <col min="18" max="18" width="10" customWidth="1"/>
    <col min="19" max="19" width="15.7109375" customWidth="1"/>
    <col min="20" max="20" width="22.5703125" customWidth="1"/>
    <col min="21" max="21" width="15.5703125" customWidth="1"/>
    <col min="22" max="22" width="23" customWidth="1"/>
    <col min="23" max="23" width="18.5703125" customWidth="1"/>
    <col min="24" max="24" width="18.28515625" customWidth="1"/>
    <col min="25" max="25" width="19.5703125" customWidth="1"/>
  </cols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</row>
    <row r="2" spans="1:25" x14ac:dyDescent="0.25">
      <c r="A2">
        <v>1.2612070583220199E+19</v>
      </c>
      <c r="B2" t="s">
        <v>71</v>
      </c>
      <c r="C2">
        <v>60208</v>
      </c>
      <c r="D2">
        <v>612</v>
      </c>
      <c r="E2">
        <v>70</v>
      </c>
      <c r="F2" t="s">
        <v>72</v>
      </c>
      <c r="G2">
        <v>256991</v>
      </c>
      <c r="H2" s="1">
        <v>44743</v>
      </c>
      <c r="I2" t="s">
        <v>73</v>
      </c>
      <c r="J2" t="s">
        <v>74</v>
      </c>
      <c r="K2" t="s">
        <v>75</v>
      </c>
      <c r="L2">
        <v>114</v>
      </c>
      <c r="P2">
        <v>1</v>
      </c>
      <c r="Q2">
        <v>114</v>
      </c>
      <c r="R2" t="s">
        <v>76</v>
      </c>
      <c r="X2" t="s">
        <v>77</v>
      </c>
      <c r="Y2" t="s">
        <v>78</v>
      </c>
    </row>
    <row r="3" spans="1:25" x14ac:dyDescent="0.25">
      <c r="A3">
        <v>1.26120705805202E+19</v>
      </c>
      <c r="B3" t="s">
        <v>79</v>
      </c>
      <c r="C3">
        <v>60208</v>
      </c>
      <c r="D3">
        <v>612</v>
      </c>
      <c r="E3">
        <v>70</v>
      </c>
      <c r="F3" t="s">
        <v>72</v>
      </c>
      <c r="G3">
        <v>199517</v>
      </c>
      <c r="H3" s="1">
        <v>44743</v>
      </c>
      <c r="I3" t="s">
        <v>73</v>
      </c>
      <c r="J3" t="s">
        <v>80</v>
      </c>
      <c r="K3" t="s">
        <v>75</v>
      </c>
      <c r="L3">
        <v>13759</v>
      </c>
      <c r="P3">
        <v>1</v>
      </c>
      <c r="Q3">
        <v>13759</v>
      </c>
      <c r="R3" t="s">
        <v>76</v>
      </c>
      <c r="X3" t="s">
        <v>81</v>
      </c>
      <c r="Y3" t="s">
        <v>78</v>
      </c>
    </row>
    <row r="4" spans="1:25" x14ac:dyDescent="0.25">
      <c r="A4">
        <v>1.2612070582620201E+19</v>
      </c>
      <c r="B4" t="s">
        <v>71</v>
      </c>
      <c r="C4">
        <v>60208</v>
      </c>
      <c r="D4">
        <v>612</v>
      </c>
      <c r="E4">
        <v>70</v>
      </c>
      <c r="F4" t="s">
        <v>72</v>
      </c>
      <c r="G4">
        <v>278481</v>
      </c>
      <c r="H4" s="1">
        <v>44743</v>
      </c>
      <c r="I4" t="s">
        <v>73</v>
      </c>
      <c r="J4" t="s">
        <v>74</v>
      </c>
      <c r="K4" t="s">
        <v>75</v>
      </c>
      <c r="L4">
        <v>737</v>
      </c>
      <c r="P4">
        <v>1</v>
      </c>
      <c r="Q4">
        <v>737</v>
      </c>
      <c r="R4" t="s">
        <v>76</v>
      </c>
      <c r="X4" t="s">
        <v>77</v>
      </c>
      <c r="Y4" t="s">
        <v>78</v>
      </c>
    </row>
    <row r="5" spans="1:25" x14ac:dyDescent="0.25">
      <c r="A5">
        <v>1.26120705836202E+19</v>
      </c>
      <c r="B5" t="s">
        <v>71</v>
      </c>
      <c r="C5">
        <v>60208</v>
      </c>
      <c r="D5">
        <v>612</v>
      </c>
      <c r="E5">
        <v>70</v>
      </c>
      <c r="F5" t="s">
        <v>72</v>
      </c>
      <c r="G5">
        <v>121071</v>
      </c>
      <c r="H5" s="1">
        <v>44743</v>
      </c>
      <c r="I5" t="s">
        <v>73</v>
      </c>
      <c r="J5" t="s">
        <v>74</v>
      </c>
      <c r="K5" t="s">
        <v>75</v>
      </c>
      <c r="L5">
        <v>4497</v>
      </c>
      <c r="P5">
        <v>1</v>
      </c>
      <c r="Q5">
        <v>4497</v>
      </c>
      <c r="R5" t="s">
        <v>76</v>
      </c>
      <c r="X5" t="s">
        <v>77</v>
      </c>
      <c r="Y5" t="s">
        <v>78</v>
      </c>
    </row>
    <row r="6" spans="1:25" x14ac:dyDescent="0.25">
      <c r="A6">
        <v>1.26120705812202E+19</v>
      </c>
      <c r="B6" t="s">
        <v>71</v>
      </c>
      <c r="C6">
        <v>60208</v>
      </c>
      <c r="D6">
        <v>612</v>
      </c>
      <c r="E6">
        <v>70</v>
      </c>
      <c r="F6" t="s">
        <v>72</v>
      </c>
      <c r="G6">
        <v>246899</v>
      </c>
      <c r="H6" s="1">
        <v>44743</v>
      </c>
      <c r="I6" t="s">
        <v>73</v>
      </c>
      <c r="J6" t="s">
        <v>74</v>
      </c>
      <c r="K6" t="s">
        <v>75</v>
      </c>
      <c r="L6">
        <v>114</v>
      </c>
      <c r="P6">
        <v>1</v>
      </c>
      <c r="Q6">
        <v>114</v>
      </c>
      <c r="R6" t="s">
        <v>76</v>
      </c>
      <c r="X6" t="s">
        <v>81</v>
      </c>
      <c r="Y6" t="s">
        <v>78</v>
      </c>
    </row>
    <row r="7" spans="1:25" x14ac:dyDescent="0.25">
      <c r="A7">
        <v>1.2612070582420199E+19</v>
      </c>
      <c r="B7" t="s">
        <v>71</v>
      </c>
      <c r="C7">
        <v>60208</v>
      </c>
      <c r="D7">
        <v>612</v>
      </c>
      <c r="E7">
        <v>70</v>
      </c>
      <c r="F7" t="s">
        <v>72</v>
      </c>
      <c r="G7">
        <v>23090</v>
      </c>
      <c r="H7" s="1">
        <v>44743</v>
      </c>
      <c r="I7" t="s">
        <v>73</v>
      </c>
      <c r="J7" t="s">
        <v>74</v>
      </c>
      <c r="K7" t="s">
        <v>75</v>
      </c>
      <c r="L7">
        <v>93</v>
      </c>
      <c r="P7">
        <v>1</v>
      </c>
      <c r="Q7">
        <v>93</v>
      </c>
      <c r="R7" t="s">
        <v>76</v>
      </c>
      <c r="X7" t="s">
        <v>77</v>
      </c>
      <c r="Y7" t="s">
        <v>78</v>
      </c>
    </row>
    <row r="8" spans="1:25" x14ac:dyDescent="0.25">
      <c r="A8">
        <v>1.2612070580320201E+19</v>
      </c>
      <c r="B8" t="s">
        <v>71</v>
      </c>
      <c r="C8">
        <v>60208</v>
      </c>
      <c r="D8">
        <v>612</v>
      </c>
      <c r="E8">
        <v>70</v>
      </c>
      <c r="F8" t="s">
        <v>72</v>
      </c>
      <c r="G8">
        <v>211422</v>
      </c>
      <c r="H8" s="1">
        <v>44743</v>
      </c>
      <c r="I8" t="s">
        <v>73</v>
      </c>
      <c r="J8" t="s">
        <v>74</v>
      </c>
      <c r="K8" t="s">
        <v>75</v>
      </c>
      <c r="L8">
        <v>715</v>
      </c>
      <c r="P8">
        <v>1</v>
      </c>
      <c r="Q8">
        <v>715</v>
      </c>
      <c r="R8" t="s">
        <v>76</v>
      </c>
      <c r="X8" t="s">
        <v>77</v>
      </c>
      <c r="Y8" t="s">
        <v>78</v>
      </c>
    </row>
    <row r="9" spans="1:25" x14ac:dyDescent="0.25">
      <c r="A9">
        <v>1.26120705830202E+19</v>
      </c>
      <c r="B9" t="s">
        <v>71</v>
      </c>
      <c r="C9">
        <v>60208</v>
      </c>
      <c r="D9">
        <v>612</v>
      </c>
      <c r="E9">
        <v>70</v>
      </c>
      <c r="F9" t="s">
        <v>72</v>
      </c>
      <c r="G9">
        <v>564868</v>
      </c>
      <c r="H9" s="1">
        <v>44743</v>
      </c>
      <c r="I9" t="s">
        <v>73</v>
      </c>
      <c r="J9" t="s">
        <v>82</v>
      </c>
      <c r="K9" t="s">
        <v>75</v>
      </c>
      <c r="L9">
        <v>4998.5</v>
      </c>
      <c r="P9">
        <v>1</v>
      </c>
      <c r="Q9">
        <v>4998.5</v>
      </c>
      <c r="R9" t="s">
        <v>76</v>
      </c>
      <c r="X9" t="s">
        <v>77</v>
      </c>
      <c r="Y9" t="s">
        <v>78</v>
      </c>
    </row>
    <row r="10" spans="1:25" x14ac:dyDescent="0.25">
      <c r="A10">
        <v>1.26120705830202E+19</v>
      </c>
      <c r="B10" t="s">
        <v>71</v>
      </c>
      <c r="C10">
        <v>60208</v>
      </c>
      <c r="D10">
        <v>612</v>
      </c>
      <c r="E10">
        <v>70</v>
      </c>
      <c r="F10" t="s">
        <v>72</v>
      </c>
      <c r="G10">
        <v>732594</v>
      </c>
      <c r="H10" s="1">
        <v>44743</v>
      </c>
      <c r="I10" t="s">
        <v>73</v>
      </c>
      <c r="J10" t="s">
        <v>82</v>
      </c>
      <c r="K10" t="s">
        <v>75</v>
      </c>
      <c r="L10">
        <v>4998.5</v>
      </c>
      <c r="P10">
        <v>1</v>
      </c>
      <c r="Q10">
        <v>4998.5</v>
      </c>
      <c r="R10" t="s">
        <v>76</v>
      </c>
      <c r="X10" t="s">
        <v>77</v>
      </c>
      <c r="Y10" t="s">
        <v>78</v>
      </c>
    </row>
    <row r="11" spans="1:25" x14ac:dyDescent="0.25">
      <c r="A11">
        <v>1.2612070581120201E+19</v>
      </c>
      <c r="B11" t="s">
        <v>71</v>
      </c>
      <c r="C11">
        <v>60208</v>
      </c>
      <c r="D11">
        <v>612</v>
      </c>
      <c r="E11">
        <v>70</v>
      </c>
      <c r="F11" t="s">
        <v>72</v>
      </c>
      <c r="G11">
        <v>612871</v>
      </c>
      <c r="H11" s="1">
        <v>44743</v>
      </c>
      <c r="I11" t="s">
        <v>73</v>
      </c>
      <c r="J11" t="s">
        <v>74</v>
      </c>
      <c r="K11" t="s">
        <v>75</v>
      </c>
      <c r="L11">
        <v>100</v>
      </c>
      <c r="P11">
        <v>1</v>
      </c>
      <c r="Q11">
        <v>100</v>
      </c>
      <c r="R11" t="s">
        <v>76</v>
      </c>
      <c r="X11" t="s">
        <v>81</v>
      </c>
      <c r="Y11" t="s">
        <v>78</v>
      </c>
    </row>
    <row r="12" spans="1:25" x14ac:dyDescent="0.25">
      <c r="A12">
        <v>1.2612070580120199E+19</v>
      </c>
      <c r="B12" t="s">
        <v>71</v>
      </c>
      <c r="C12">
        <v>60208</v>
      </c>
      <c r="D12">
        <v>612</v>
      </c>
      <c r="E12">
        <v>70</v>
      </c>
      <c r="F12" t="s">
        <v>72</v>
      </c>
      <c r="G12">
        <v>820544</v>
      </c>
      <c r="H12" s="1">
        <v>44743</v>
      </c>
      <c r="I12" t="s">
        <v>73</v>
      </c>
      <c r="J12" t="s">
        <v>74</v>
      </c>
      <c r="K12" t="s">
        <v>75</v>
      </c>
      <c r="L12">
        <v>749</v>
      </c>
      <c r="P12">
        <v>1</v>
      </c>
      <c r="Q12">
        <v>749</v>
      </c>
      <c r="R12" t="s">
        <v>76</v>
      </c>
      <c r="X12" t="s">
        <v>77</v>
      </c>
      <c r="Y12" t="s">
        <v>78</v>
      </c>
    </row>
    <row r="13" spans="1:25" x14ac:dyDescent="0.25">
      <c r="A13">
        <v>1.2612070582520199E+19</v>
      </c>
      <c r="B13" t="s">
        <v>71</v>
      </c>
      <c r="C13">
        <v>60208</v>
      </c>
      <c r="D13">
        <v>612</v>
      </c>
      <c r="E13">
        <v>70</v>
      </c>
      <c r="F13" t="s">
        <v>72</v>
      </c>
      <c r="G13">
        <v>239027</v>
      </c>
      <c r="H13" s="1">
        <v>44743</v>
      </c>
      <c r="I13" t="s">
        <v>73</v>
      </c>
      <c r="J13" t="s">
        <v>74</v>
      </c>
      <c r="K13" t="s">
        <v>75</v>
      </c>
      <c r="L13">
        <v>122</v>
      </c>
      <c r="P13">
        <v>1</v>
      </c>
      <c r="Q13">
        <v>122</v>
      </c>
      <c r="R13" t="s">
        <v>76</v>
      </c>
      <c r="X13" t="s">
        <v>77</v>
      </c>
      <c r="Y13" t="s">
        <v>78</v>
      </c>
    </row>
    <row r="14" spans="1:25" x14ac:dyDescent="0.25">
      <c r="A14">
        <v>1.26120705823202E+19</v>
      </c>
      <c r="B14" t="s">
        <v>71</v>
      </c>
      <c r="C14">
        <v>60208</v>
      </c>
      <c r="D14">
        <v>612</v>
      </c>
      <c r="E14">
        <v>70</v>
      </c>
      <c r="F14" t="s">
        <v>72</v>
      </c>
      <c r="G14">
        <v>23090</v>
      </c>
      <c r="H14" s="1">
        <v>44743</v>
      </c>
      <c r="I14" t="s">
        <v>73</v>
      </c>
      <c r="J14" t="s">
        <v>74</v>
      </c>
      <c r="K14" t="s">
        <v>75</v>
      </c>
      <c r="L14">
        <v>657</v>
      </c>
      <c r="P14">
        <v>1</v>
      </c>
      <c r="Q14">
        <v>657</v>
      </c>
      <c r="R14" t="s">
        <v>76</v>
      </c>
      <c r="X14" t="s">
        <v>77</v>
      </c>
      <c r="Y14" t="s">
        <v>78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43278-E879-4183-8F81-40DF014D31F0}">
  <dimension ref="A3:D8"/>
  <sheetViews>
    <sheetView workbookViewId="0"/>
  </sheetViews>
  <sheetFormatPr baseColWidth="10" defaultRowHeight="15" x14ac:dyDescent="0.25"/>
  <cols>
    <col min="1" max="1" width="46" bestFit="1" customWidth="1"/>
    <col min="2" max="2" width="22.42578125" bestFit="1" customWidth="1"/>
    <col min="3" max="3" width="12" bestFit="1" customWidth="1"/>
    <col min="4" max="4" width="12.5703125" bestFit="1" customWidth="1"/>
  </cols>
  <sheetData>
    <row r="3" spans="1:4" x14ac:dyDescent="0.25">
      <c r="A3" s="3" t="s">
        <v>100</v>
      </c>
      <c r="B3" s="3" t="s">
        <v>83</v>
      </c>
    </row>
    <row r="4" spans="1:4" x14ac:dyDescent="0.25">
      <c r="A4" s="3" t="s">
        <v>85</v>
      </c>
      <c r="B4" t="s">
        <v>97</v>
      </c>
      <c r="C4" t="s">
        <v>87</v>
      </c>
      <c r="D4" t="s">
        <v>84</v>
      </c>
    </row>
    <row r="5" spans="1:4" x14ac:dyDescent="0.25">
      <c r="A5" s="4">
        <v>60208</v>
      </c>
      <c r="B5" s="7">
        <v>5554.17</v>
      </c>
      <c r="C5" s="7">
        <v>16182.31</v>
      </c>
      <c r="D5" s="7">
        <v>21736.48</v>
      </c>
    </row>
    <row r="6" spans="1:4" x14ac:dyDescent="0.25">
      <c r="A6" s="5" t="s">
        <v>72</v>
      </c>
      <c r="B6" s="7">
        <v>5554.17</v>
      </c>
      <c r="C6" s="7">
        <v>16182.31</v>
      </c>
      <c r="D6" s="7">
        <v>21736.48</v>
      </c>
    </row>
    <row r="7" spans="1:4" x14ac:dyDescent="0.25">
      <c r="A7" s="6" t="s">
        <v>73</v>
      </c>
      <c r="B7" s="7">
        <v>5554.17</v>
      </c>
      <c r="C7" s="7">
        <v>16182.31</v>
      </c>
      <c r="D7" s="7">
        <v>21736.48</v>
      </c>
    </row>
    <row r="8" spans="1:4" x14ac:dyDescent="0.25">
      <c r="A8" s="4" t="s">
        <v>84</v>
      </c>
      <c r="B8" s="7">
        <v>5554.17</v>
      </c>
      <c r="C8" s="7">
        <v>16182.31</v>
      </c>
      <c r="D8" s="7">
        <v>21736.48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65DC0-8059-4D25-BC36-0F0E76037159}">
  <sheetPr codeName="Hoja3"/>
  <dimension ref="A1:AA3"/>
  <sheetViews>
    <sheetView workbookViewId="0">
      <selection sqref="A1:AA3"/>
    </sheetView>
  </sheetViews>
  <sheetFormatPr baseColWidth="10" defaultRowHeight="15" x14ac:dyDescent="0.25"/>
  <cols>
    <col min="4" max="4" width="20.140625" customWidth="1"/>
    <col min="5" max="5" width="15.5703125" customWidth="1"/>
    <col min="7" max="7" width="14.7109375" customWidth="1"/>
    <col min="10" max="10" width="15.7109375" customWidth="1"/>
    <col min="11" max="11" width="17.42578125" customWidth="1"/>
    <col min="12" max="12" width="16.42578125" customWidth="1"/>
    <col min="13" max="13" width="13.7109375" customWidth="1"/>
    <col min="16" max="16" width="13.85546875" customWidth="1"/>
    <col min="17" max="17" width="27.5703125" customWidth="1"/>
    <col min="18" max="18" width="26.5703125" customWidth="1"/>
    <col min="19" max="19" width="18.5703125" customWidth="1"/>
    <col min="20" max="20" width="11.5703125" customWidth="1"/>
    <col min="21" max="21" width="16.28515625" customWidth="1"/>
    <col min="22" max="22" width="12.5703125" customWidth="1"/>
    <col min="24" max="24" width="19.28515625" customWidth="1"/>
    <col min="25" max="25" width="21.42578125" customWidth="1"/>
    <col min="27" max="27" width="16.28515625" customWidth="1"/>
  </cols>
  <sheetData>
    <row r="1" spans="1:27" x14ac:dyDescent="0.25">
      <c r="A1" s="2" t="s">
        <v>25</v>
      </c>
      <c r="B1" s="2" t="s">
        <v>26</v>
      </c>
      <c r="C1" s="2" t="s">
        <v>27</v>
      </c>
      <c r="D1" s="2" t="s">
        <v>28</v>
      </c>
      <c r="E1" s="2" t="s">
        <v>29</v>
      </c>
      <c r="F1" s="2" t="s">
        <v>30</v>
      </c>
      <c r="G1" s="2" t="s">
        <v>31</v>
      </c>
      <c r="H1" s="2" t="s">
        <v>32</v>
      </c>
      <c r="I1" s="2" t="s">
        <v>33</v>
      </c>
      <c r="J1" s="2" t="s">
        <v>34</v>
      </c>
      <c r="K1" s="2" t="s">
        <v>35</v>
      </c>
      <c r="L1" s="2" t="s">
        <v>36</v>
      </c>
      <c r="M1" s="2" t="s">
        <v>37</v>
      </c>
      <c r="N1" s="2" t="s">
        <v>38</v>
      </c>
      <c r="O1" s="2" t="s">
        <v>39</v>
      </c>
      <c r="P1" s="2" t="s">
        <v>40</v>
      </c>
      <c r="Q1" s="2" t="s">
        <v>41</v>
      </c>
      <c r="R1" s="2" t="s">
        <v>42</v>
      </c>
      <c r="S1" s="2" t="s">
        <v>13</v>
      </c>
      <c r="T1" s="2" t="s">
        <v>14</v>
      </c>
      <c r="U1" s="2" t="s">
        <v>43</v>
      </c>
      <c r="V1" s="2" t="s">
        <v>44</v>
      </c>
      <c r="W1" s="2" t="s">
        <v>45</v>
      </c>
      <c r="X1" s="2" t="s">
        <v>46</v>
      </c>
      <c r="Y1" s="2" t="s">
        <v>47</v>
      </c>
      <c r="Z1" s="2" t="s">
        <v>48</v>
      </c>
      <c r="AA1" s="2" t="s">
        <v>49</v>
      </c>
    </row>
    <row r="2" spans="1:27" x14ac:dyDescent="0.25">
      <c r="A2" t="s">
        <v>87</v>
      </c>
      <c r="B2" s="1">
        <v>44743</v>
      </c>
      <c r="C2" t="s">
        <v>88</v>
      </c>
      <c r="D2" s="8" t="s">
        <v>89</v>
      </c>
      <c r="E2">
        <v>60208</v>
      </c>
      <c r="F2">
        <v>12612</v>
      </c>
      <c r="G2" t="s">
        <v>72</v>
      </c>
      <c r="H2">
        <v>70</v>
      </c>
      <c r="I2" t="s">
        <v>90</v>
      </c>
      <c r="J2" t="s">
        <v>73</v>
      </c>
      <c r="K2">
        <v>85138021</v>
      </c>
      <c r="L2" t="s">
        <v>91</v>
      </c>
      <c r="M2" t="s">
        <v>92</v>
      </c>
      <c r="N2" t="s">
        <v>75</v>
      </c>
      <c r="O2">
        <v>16182.31</v>
      </c>
      <c r="P2" t="s">
        <v>93</v>
      </c>
      <c r="Q2">
        <v>85138021</v>
      </c>
      <c r="R2" t="s">
        <v>91</v>
      </c>
      <c r="S2">
        <v>16182.31</v>
      </c>
      <c r="U2">
        <v>1</v>
      </c>
      <c r="V2">
        <v>16182.31</v>
      </c>
      <c r="W2" t="s">
        <v>94</v>
      </c>
      <c r="X2" t="s">
        <v>95</v>
      </c>
      <c r="Z2" t="s">
        <v>81</v>
      </c>
      <c r="AA2" t="s">
        <v>96</v>
      </c>
    </row>
    <row r="3" spans="1:27" x14ac:dyDescent="0.25">
      <c r="A3" t="s">
        <v>97</v>
      </c>
      <c r="B3" s="1">
        <v>44743</v>
      </c>
      <c r="C3" t="s">
        <v>88</v>
      </c>
      <c r="D3" s="8" t="s">
        <v>89</v>
      </c>
      <c r="E3">
        <v>60208</v>
      </c>
      <c r="F3">
        <v>12612</v>
      </c>
      <c r="G3" t="s">
        <v>72</v>
      </c>
      <c r="H3">
        <v>70</v>
      </c>
      <c r="I3" t="s">
        <v>90</v>
      </c>
      <c r="J3" t="s">
        <v>73</v>
      </c>
      <c r="K3">
        <v>85138023</v>
      </c>
      <c r="L3" t="s">
        <v>98</v>
      </c>
      <c r="M3" t="s">
        <v>92</v>
      </c>
      <c r="N3" t="s">
        <v>75</v>
      </c>
      <c r="O3">
        <v>5554.17</v>
      </c>
      <c r="P3" t="s">
        <v>93</v>
      </c>
      <c r="Q3">
        <v>85138023</v>
      </c>
      <c r="R3" t="s">
        <v>98</v>
      </c>
      <c r="S3">
        <v>5554.17</v>
      </c>
      <c r="U3">
        <v>1</v>
      </c>
      <c r="V3">
        <v>5554.17</v>
      </c>
      <c r="W3" t="s">
        <v>94</v>
      </c>
      <c r="X3" t="s">
        <v>95</v>
      </c>
      <c r="Z3" t="s">
        <v>81</v>
      </c>
      <c r="AA3" t="s">
        <v>99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E39A3-20AF-4F87-9FFD-EAC7F56335EE}">
  <dimension ref="A3:H12"/>
  <sheetViews>
    <sheetView workbookViewId="0"/>
  </sheetViews>
  <sheetFormatPr baseColWidth="10" defaultRowHeight="15" x14ac:dyDescent="0.25"/>
  <cols>
    <col min="1" max="1" width="31.28515625" bestFit="1" customWidth="1"/>
    <col min="2" max="2" width="22.42578125" bestFit="1" customWidth="1"/>
    <col min="3" max="3" width="17" bestFit="1" customWidth="1"/>
    <col min="4" max="4" width="12.5703125" bestFit="1" customWidth="1"/>
    <col min="5" max="5" width="20.140625" bestFit="1" customWidth="1"/>
    <col min="6" max="7" width="18.5703125" bestFit="1" customWidth="1"/>
    <col min="8" max="8" width="12.5703125" bestFit="1" customWidth="1"/>
  </cols>
  <sheetData>
    <row r="3" spans="1:8" x14ac:dyDescent="0.25">
      <c r="A3" s="3" t="s">
        <v>86</v>
      </c>
      <c r="F3" s="3" t="s">
        <v>63</v>
      </c>
    </row>
    <row r="4" spans="1:8" x14ac:dyDescent="0.25">
      <c r="A4" s="3" t="s">
        <v>51</v>
      </c>
      <c r="B4" s="3" t="s">
        <v>52</v>
      </c>
      <c r="C4" s="3" t="s">
        <v>54</v>
      </c>
      <c r="D4" s="3" t="s">
        <v>62</v>
      </c>
      <c r="E4" s="3" t="s">
        <v>64</v>
      </c>
      <c r="F4" t="s">
        <v>115</v>
      </c>
      <c r="G4" t="s">
        <v>107</v>
      </c>
      <c r="H4" t="s">
        <v>84</v>
      </c>
    </row>
    <row r="5" spans="1:8" x14ac:dyDescent="0.25">
      <c r="A5" t="s">
        <v>102</v>
      </c>
      <c r="B5">
        <v>60208</v>
      </c>
      <c r="C5" s="9">
        <v>44771</v>
      </c>
      <c r="D5" t="s">
        <v>106</v>
      </c>
      <c r="E5" t="s">
        <v>159</v>
      </c>
      <c r="F5" s="7">
        <v>5275</v>
      </c>
      <c r="G5" s="7">
        <v>29230</v>
      </c>
      <c r="H5" s="7">
        <v>34505</v>
      </c>
    </row>
    <row r="6" spans="1:8" x14ac:dyDescent="0.25">
      <c r="A6" t="s">
        <v>102</v>
      </c>
      <c r="B6">
        <v>60208</v>
      </c>
      <c r="C6" s="9">
        <v>44771</v>
      </c>
      <c r="D6" t="s">
        <v>160</v>
      </c>
      <c r="F6" s="7">
        <v>5275</v>
      </c>
      <c r="G6" s="7">
        <v>29230</v>
      </c>
      <c r="H6" s="7">
        <v>34505</v>
      </c>
    </row>
    <row r="7" spans="1:8" x14ac:dyDescent="0.25">
      <c r="A7" t="s">
        <v>102</v>
      </c>
      <c r="B7">
        <v>60208</v>
      </c>
      <c r="C7" s="9">
        <v>44771</v>
      </c>
      <c r="D7" t="s">
        <v>119</v>
      </c>
      <c r="E7" t="s">
        <v>159</v>
      </c>
      <c r="F7" s="7">
        <v>150</v>
      </c>
      <c r="G7" s="7"/>
      <c r="H7" s="7">
        <v>150</v>
      </c>
    </row>
    <row r="8" spans="1:8" x14ac:dyDescent="0.25">
      <c r="A8" t="s">
        <v>102</v>
      </c>
      <c r="B8">
        <v>60208</v>
      </c>
      <c r="C8" s="9">
        <v>44771</v>
      </c>
      <c r="D8" t="s">
        <v>161</v>
      </c>
      <c r="F8" s="7">
        <v>150</v>
      </c>
      <c r="G8" s="7"/>
      <c r="H8" s="7">
        <v>150</v>
      </c>
    </row>
    <row r="9" spans="1:8" x14ac:dyDescent="0.25">
      <c r="A9" t="s">
        <v>102</v>
      </c>
      <c r="B9">
        <v>60208</v>
      </c>
      <c r="C9" s="9" t="s">
        <v>162</v>
      </c>
      <c r="F9" s="7">
        <v>5425</v>
      </c>
      <c r="G9" s="7">
        <v>29230</v>
      </c>
      <c r="H9" s="7">
        <v>34655</v>
      </c>
    </row>
    <row r="10" spans="1:8" x14ac:dyDescent="0.25">
      <c r="A10" t="s">
        <v>102</v>
      </c>
      <c r="B10" t="s">
        <v>163</v>
      </c>
      <c r="F10" s="7">
        <v>5425</v>
      </c>
      <c r="G10" s="7">
        <v>29230</v>
      </c>
      <c r="H10" s="7">
        <v>34655</v>
      </c>
    </row>
    <row r="11" spans="1:8" x14ac:dyDescent="0.25">
      <c r="A11" t="s">
        <v>164</v>
      </c>
      <c r="F11" s="7">
        <v>5425</v>
      </c>
      <c r="G11" s="7">
        <v>29230</v>
      </c>
      <c r="H11" s="7">
        <v>34655</v>
      </c>
    </row>
    <row r="12" spans="1:8" x14ac:dyDescent="0.25">
      <c r="A12" t="s">
        <v>84</v>
      </c>
      <c r="F12" s="7">
        <v>5425</v>
      </c>
      <c r="G12" s="7">
        <v>29230</v>
      </c>
      <c r="H12" s="7">
        <v>34655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AEBB4-F936-40FB-9D8F-9C51A336BC9A}">
  <sheetPr codeName="Hoja5"/>
  <dimension ref="A1:V13"/>
  <sheetViews>
    <sheetView workbookViewId="0">
      <selection sqref="A1:V13"/>
    </sheetView>
  </sheetViews>
  <sheetFormatPr baseColWidth="10" defaultRowHeight="15" x14ac:dyDescent="0.25"/>
  <cols>
    <col min="5" max="5" width="21.7109375" customWidth="1"/>
    <col min="6" max="6" width="20.140625" customWidth="1"/>
    <col min="7" max="7" width="21" customWidth="1"/>
    <col min="8" max="8" width="35.28515625" customWidth="1"/>
    <col min="9" max="9" width="39.85546875" customWidth="1"/>
    <col min="10" max="10" width="17.7109375" customWidth="1"/>
    <col min="11" max="11" width="23" customWidth="1"/>
    <col min="12" max="12" width="19" customWidth="1"/>
    <col min="13" max="13" width="22.42578125" customWidth="1"/>
    <col min="14" max="14" width="17.7109375" customWidth="1"/>
    <col min="15" max="15" width="19.7109375" customWidth="1"/>
    <col min="17" max="17" width="18.42578125" customWidth="1"/>
    <col min="18" max="18" width="15.28515625" customWidth="1"/>
    <col min="19" max="19" width="18.28515625" customWidth="1"/>
    <col min="21" max="21" width="16.42578125" customWidth="1"/>
    <col min="22" max="22" width="13.85546875" customWidth="1"/>
  </cols>
  <sheetData>
    <row r="1" spans="1:22" x14ac:dyDescent="0.25">
      <c r="A1" s="2" t="s">
        <v>50</v>
      </c>
      <c r="B1" s="2" t="s">
        <v>51</v>
      </c>
      <c r="C1" s="2" t="s">
        <v>52</v>
      </c>
      <c r="D1" s="2" t="s">
        <v>53</v>
      </c>
      <c r="E1" s="2" t="s">
        <v>54</v>
      </c>
      <c r="F1" s="2" t="s">
        <v>55</v>
      </c>
      <c r="G1" s="2" t="s">
        <v>56</v>
      </c>
      <c r="H1" s="2" t="s">
        <v>57</v>
      </c>
      <c r="I1" s="2" t="s">
        <v>58</v>
      </c>
      <c r="J1" s="2" t="s">
        <v>59</v>
      </c>
      <c r="K1" s="2" t="s">
        <v>60</v>
      </c>
      <c r="L1" s="2" t="s">
        <v>61</v>
      </c>
      <c r="M1" s="2" t="s">
        <v>62</v>
      </c>
      <c r="N1" s="2" t="s">
        <v>63</v>
      </c>
      <c r="O1" s="2" t="s">
        <v>64</v>
      </c>
      <c r="P1" s="2" t="s">
        <v>11</v>
      </c>
      <c r="Q1" s="2" t="s">
        <v>65</v>
      </c>
      <c r="R1" s="2" t="s">
        <v>66</v>
      </c>
      <c r="S1" s="2" t="s">
        <v>67</v>
      </c>
      <c r="T1" s="2" t="s">
        <v>68</v>
      </c>
      <c r="U1" s="2" t="s">
        <v>69</v>
      </c>
      <c r="V1" s="2" t="s">
        <v>70</v>
      </c>
    </row>
    <row r="2" spans="1:22" x14ac:dyDescent="0.25">
      <c r="A2" t="s">
        <v>101</v>
      </c>
      <c r="B2" t="s">
        <v>102</v>
      </c>
      <c r="C2">
        <v>60208</v>
      </c>
      <c r="D2">
        <v>70</v>
      </c>
      <c r="E2" s="9">
        <v>44771</v>
      </c>
      <c r="F2">
        <v>5836</v>
      </c>
      <c r="G2" s="8" t="s">
        <v>103</v>
      </c>
      <c r="J2" s="8" t="s">
        <v>104</v>
      </c>
      <c r="L2" t="s">
        <v>105</v>
      </c>
      <c r="M2" t="s">
        <v>106</v>
      </c>
      <c r="N2" t="s">
        <v>107</v>
      </c>
      <c r="P2">
        <v>4497</v>
      </c>
      <c r="Q2" s="8" t="s">
        <v>108</v>
      </c>
      <c r="R2" s="8" t="s">
        <v>109</v>
      </c>
      <c r="S2" t="s">
        <v>110</v>
      </c>
      <c r="T2" t="s">
        <v>111</v>
      </c>
      <c r="V2" t="s">
        <v>112</v>
      </c>
    </row>
    <row r="3" spans="1:22" x14ac:dyDescent="0.25">
      <c r="A3" t="s">
        <v>101</v>
      </c>
      <c r="B3" t="s">
        <v>102</v>
      </c>
      <c r="C3">
        <v>60208</v>
      </c>
      <c r="D3">
        <v>70</v>
      </c>
      <c r="E3" s="9">
        <v>44771</v>
      </c>
      <c r="F3">
        <v>5835</v>
      </c>
      <c r="G3" s="8" t="s">
        <v>113</v>
      </c>
      <c r="J3" s="8" t="s">
        <v>114</v>
      </c>
      <c r="L3" t="s">
        <v>105</v>
      </c>
      <c r="M3" t="s">
        <v>106</v>
      </c>
      <c r="N3" t="s">
        <v>115</v>
      </c>
      <c r="P3">
        <v>197</v>
      </c>
      <c r="Q3" s="8" t="s">
        <v>116</v>
      </c>
      <c r="R3" s="8" t="s">
        <v>109</v>
      </c>
      <c r="S3" t="s">
        <v>110</v>
      </c>
    </row>
    <row r="4" spans="1:22" x14ac:dyDescent="0.25">
      <c r="A4" t="s">
        <v>101</v>
      </c>
      <c r="B4" t="s">
        <v>102</v>
      </c>
      <c r="C4">
        <v>60208</v>
      </c>
      <c r="D4">
        <v>70</v>
      </c>
      <c r="E4" s="9">
        <v>44771</v>
      </c>
      <c r="F4">
        <v>5806</v>
      </c>
      <c r="G4" s="8" t="s">
        <v>117</v>
      </c>
      <c r="J4" s="8" t="s">
        <v>118</v>
      </c>
      <c r="L4" t="s">
        <v>105</v>
      </c>
      <c r="M4" t="s">
        <v>119</v>
      </c>
      <c r="N4" t="s">
        <v>115</v>
      </c>
      <c r="P4">
        <v>150</v>
      </c>
      <c r="Q4" s="8" t="s">
        <v>109</v>
      </c>
      <c r="R4" s="8" t="s">
        <v>109</v>
      </c>
      <c r="S4" t="s">
        <v>120</v>
      </c>
    </row>
    <row r="5" spans="1:22" x14ac:dyDescent="0.25">
      <c r="A5" t="s">
        <v>101</v>
      </c>
      <c r="B5" t="s">
        <v>102</v>
      </c>
      <c r="C5">
        <v>60208</v>
      </c>
      <c r="D5">
        <v>70</v>
      </c>
      <c r="E5" s="9">
        <v>44771</v>
      </c>
      <c r="F5">
        <v>5837</v>
      </c>
      <c r="G5" s="8" t="s">
        <v>121</v>
      </c>
      <c r="J5" s="8" t="s">
        <v>122</v>
      </c>
      <c r="L5" t="s">
        <v>105</v>
      </c>
      <c r="M5" t="s">
        <v>106</v>
      </c>
      <c r="N5" t="s">
        <v>115</v>
      </c>
      <c r="P5">
        <v>87</v>
      </c>
      <c r="Q5" s="8" t="s">
        <v>123</v>
      </c>
      <c r="R5" s="8" t="s">
        <v>109</v>
      </c>
      <c r="S5" t="s">
        <v>124</v>
      </c>
    </row>
    <row r="6" spans="1:22" x14ac:dyDescent="0.25">
      <c r="A6" t="s">
        <v>101</v>
      </c>
      <c r="B6" t="s">
        <v>102</v>
      </c>
      <c r="C6">
        <v>60208</v>
      </c>
      <c r="D6">
        <v>70</v>
      </c>
      <c r="E6" s="9">
        <v>44771</v>
      </c>
      <c r="F6">
        <v>5805</v>
      </c>
      <c r="G6" s="8" t="s">
        <v>125</v>
      </c>
      <c r="J6" s="8" t="s">
        <v>126</v>
      </c>
      <c r="L6" t="s">
        <v>105</v>
      </c>
      <c r="M6" t="s">
        <v>106</v>
      </c>
      <c r="N6" t="s">
        <v>107</v>
      </c>
      <c r="P6">
        <v>13759</v>
      </c>
      <c r="Q6" s="8" t="s">
        <v>127</v>
      </c>
      <c r="R6" s="8" t="s">
        <v>109</v>
      </c>
      <c r="S6" t="s">
        <v>120</v>
      </c>
      <c r="T6" t="s">
        <v>128</v>
      </c>
      <c r="V6" t="s">
        <v>129</v>
      </c>
    </row>
    <row r="7" spans="1:22" x14ac:dyDescent="0.25">
      <c r="A7" t="s">
        <v>101</v>
      </c>
      <c r="B7" t="s">
        <v>102</v>
      </c>
      <c r="C7">
        <v>60208</v>
      </c>
      <c r="D7">
        <v>70</v>
      </c>
      <c r="E7" s="9">
        <v>44771</v>
      </c>
      <c r="F7">
        <v>5807</v>
      </c>
      <c r="G7" s="8" t="s">
        <v>130</v>
      </c>
      <c r="J7" s="8" t="s">
        <v>131</v>
      </c>
      <c r="L7" t="s">
        <v>105</v>
      </c>
      <c r="M7" t="s">
        <v>106</v>
      </c>
      <c r="N7" t="s">
        <v>115</v>
      </c>
      <c r="P7">
        <v>277</v>
      </c>
      <c r="Q7" s="8" t="s">
        <v>132</v>
      </c>
      <c r="R7" s="8" t="s">
        <v>109</v>
      </c>
      <c r="S7" t="s">
        <v>120</v>
      </c>
    </row>
    <row r="8" spans="1:22" x14ac:dyDescent="0.25">
      <c r="A8" t="s">
        <v>101</v>
      </c>
      <c r="B8" t="s">
        <v>102</v>
      </c>
      <c r="C8">
        <v>60208</v>
      </c>
      <c r="D8">
        <v>70</v>
      </c>
      <c r="E8" s="9">
        <v>44771</v>
      </c>
      <c r="F8">
        <v>5812</v>
      </c>
      <c r="G8" s="8" t="s">
        <v>133</v>
      </c>
      <c r="J8" s="8" t="s">
        <v>134</v>
      </c>
      <c r="L8" t="s">
        <v>105</v>
      </c>
      <c r="M8" t="s">
        <v>106</v>
      </c>
      <c r="N8" t="s">
        <v>107</v>
      </c>
      <c r="P8">
        <v>114</v>
      </c>
      <c r="Q8" s="8" t="s">
        <v>135</v>
      </c>
      <c r="R8" s="8" t="s">
        <v>109</v>
      </c>
      <c r="S8" t="s">
        <v>136</v>
      </c>
      <c r="T8" t="s">
        <v>137</v>
      </c>
      <c r="V8" t="s">
        <v>112</v>
      </c>
    </row>
    <row r="9" spans="1:22" x14ac:dyDescent="0.25">
      <c r="A9" t="s">
        <v>101</v>
      </c>
      <c r="B9" t="s">
        <v>102</v>
      </c>
      <c r="C9">
        <v>60208</v>
      </c>
      <c r="D9">
        <v>70</v>
      </c>
      <c r="E9" s="9">
        <v>44771</v>
      </c>
      <c r="F9">
        <v>5801</v>
      </c>
      <c r="G9" s="8" t="s">
        <v>138</v>
      </c>
      <c r="J9" s="8" t="s">
        <v>139</v>
      </c>
      <c r="L9" t="s">
        <v>105</v>
      </c>
      <c r="M9" t="s">
        <v>106</v>
      </c>
      <c r="N9" t="s">
        <v>107</v>
      </c>
      <c r="P9">
        <v>749</v>
      </c>
      <c r="Q9" s="8" t="s">
        <v>140</v>
      </c>
      <c r="R9" s="8" t="s">
        <v>109</v>
      </c>
      <c r="S9" t="s">
        <v>141</v>
      </c>
      <c r="T9" t="s">
        <v>111</v>
      </c>
      <c r="V9" t="s">
        <v>112</v>
      </c>
    </row>
    <row r="10" spans="1:22" x14ac:dyDescent="0.25">
      <c r="A10" t="s">
        <v>101</v>
      </c>
      <c r="B10" t="s">
        <v>102</v>
      </c>
      <c r="C10">
        <v>60208</v>
      </c>
      <c r="D10">
        <v>70</v>
      </c>
      <c r="E10" s="9">
        <v>44771</v>
      </c>
      <c r="F10">
        <v>5815</v>
      </c>
      <c r="G10" s="8" t="s">
        <v>142</v>
      </c>
      <c r="J10" s="8" t="s">
        <v>143</v>
      </c>
      <c r="L10" t="s">
        <v>105</v>
      </c>
      <c r="M10" t="s">
        <v>106</v>
      </c>
      <c r="N10" t="s">
        <v>115</v>
      </c>
      <c r="P10">
        <v>117</v>
      </c>
      <c r="Q10" s="8" t="s">
        <v>144</v>
      </c>
      <c r="R10" s="8" t="s">
        <v>109</v>
      </c>
      <c r="S10" t="s">
        <v>145</v>
      </c>
    </row>
    <row r="11" spans="1:22" x14ac:dyDescent="0.25">
      <c r="A11" t="s">
        <v>101</v>
      </c>
      <c r="B11" t="s">
        <v>102</v>
      </c>
      <c r="C11">
        <v>60208</v>
      </c>
      <c r="D11">
        <v>70</v>
      </c>
      <c r="E11" s="9">
        <v>44771</v>
      </c>
      <c r="F11">
        <v>5830</v>
      </c>
      <c r="G11" s="8" t="s">
        <v>146</v>
      </c>
      <c r="J11" s="8" t="s">
        <v>147</v>
      </c>
      <c r="L11" t="s">
        <v>105</v>
      </c>
      <c r="M11" t="s">
        <v>106</v>
      </c>
      <c r="N11" t="s">
        <v>107</v>
      </c>
      <c r="P11">
        <v>9997</v>
      </c>
      <c r="Q11" s="8" t="s">
        <v>148</v>
      </c>
      <c r="R11" s="8" t="s">
        <v>109</v>
      </c>
      <c r="S11" t="s">
        <v>149</v>
      </c>
      <c r="T11" t="s">
        <v>150</v>
      </c>
      <c r="V11" t="s">
        <v>151</v>
      </c>
    </row>
    <row r="12" spans="1:22" x14ac:dyDescent="0.25">
      <c r="A12" t="s">
        <v>101</v>
      </c>
      <c r="B12" t="s">
        <v>102</v>
      </c>
      <c r="C12">
        <v>60208</v>
      </c>
      <c r="D12">
        <v>70</v>
      </c>
      <c r="E12" s="9">
        <v>44771</v>
      </c>
      <c r="F12">
        <v>5810</v>
      </c>
      <c r="G12" s="8" t="s">
        <v>152</v>
      </c>
      <c r="J12" s="8" t="s">
        <v>153</v>
      </c>
      <c r="L12" t="s">
        <v>105</v>
      </c>
      <c r="M12" t="s">
        <v>106</v>
      </c>
      <c r="N12" t="s">
        <v>115</v>
      </c>
      <c r="P12">
        <v>4597</v>
      </c>
      <c r="Q12" s="8" t="s">
        <v>154</v>
      </c>
      <c r="R12" s="8" t="s">
        <v>109</v>
      </c>
      <c r="S12" t="s">
        <v>155</v>
      </c>
    </row>
    <row r="13" spans="1:22" x14ac:dyDescent="0.25">
      <c r="A13" t="s">
        <v>101</v>
      </c>
      <c r="B13" t="s">
        <v>102</v>
      </c>
      <c r="C13">
        <v>60208</v>
      </c>
      <c r="D13">
        <v>70</v>
      </c>
      <c r="E13" s="9">
        <v>44771</v>
      </c>
      <c r="F13">
        <v>5832</v>
      </c>
      <c r="G13" s="8" t="s">
        <v>156</v>
      </c>
      <c r="J13" s="8" t="s">
        <v>157</v>
      </c>
      <c r="L13" t="s">
        <v>105</v>
      </c>
      <c r="M13" t="s">
        <v>106</v>
      </c>
      <c r="N13" t="s">
        <v>107</v>
      </c>
      <c r="P13">
        <v>114</v>
      </c>
      <c r="Q13" s="8" t="s">
        <v>158</v>
      </c>
      <c r="R13" s="8" t="s">
        <v>109</v>
      </c>
      <c r="S13" t="s">
        <v>81</v>
      </c>
      <c r="T13" t="s">
        <v>137</v>
      </c>
      <c r="V13" t="s">
        <v>112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Cierre</vt:lpstr>
      <vt:lpstr>tblTarjetas</vt:lpstr>
      <vt:lpstr>Tarjetas</vt:lpstr>
      <vt:lpstr>tblDepositos</vt:lpstr>
      <vt:lpstr>Depositos</vt:lpstr>
      <vt:lpstr>tblTransaccional</vt:lpstr>
      <vt:lpstr>Transaccional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Adolfo Coronado Gomez</dc:creator>
  <cp:lastModifiedBy>Cristian Adolfo Coronado Gomez</cp:lastModifiedBy>
  <dcterms:created xsi:type="dcterms:W3CDTF">2015-06-05T18:19:34Z</dcterms:created>
  <dcterms:modified xsi:type="dcterms:W3CDTF">2022-08-01T16:05:40Z</dcterms:modified>
</cp:coreProperties>
</file>