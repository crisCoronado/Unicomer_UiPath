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BF42ADAE-62AD-49EC-B092-9EF0391DB49C}" xr6:coauthVersionLast="47" xr6:coauthVersionMax="47" xr10:uidLastSave="{00000000-0000-0000-0000-000000000000}"/>
  <bookViews>
    <workbookView xWindow="5250" yWindow="4215" windowWidth="21600" windowHeight="11385" xr2:uid="{00000000-000D-0000-FFFF-FFFF00000000}"/>
  </bookViews>
  <sheets>
    <sheet name="Cierre" sheetId="6" r:id="rId1"/>
    <sheet name="tblTarjetas" sheetId="7" state="hidden" r:id="rId2"/>
    <sheet name="Tarjetas" sheetId="1" state="hidden" r:id="rId3"/>
    <sheet name="tblDepositos" sheetId="8" state="hidden" r:id="rId4"/>
    <sheet name="Depositos" sheetId="2" state="hidden" r:id="rId5"/>
    <sheet name="tblTransaccional" sheetId="9" state="hidden" r:id="rId6"/>
    <sheet name="Transaccional" sheetId="5" state="hidden" r:id="rId7"/>
  </sheets>
  <calcPr calcId="162913"/>
  <pivotCaches>
    <pivotCache cacheId="23" r:id="rId8"/>
    <pivotCache cacheId="24" r:id="rId9"/>
    <pivotCache cacheId="25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<sst xmlns="http://schemas.openxmlformats.org/spreadsheetml/2006/main" count="712" uniqueCount="221">
  <si>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</si>
  <si>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</si>
  <si>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</si>
  <si>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</si>
  <si>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</si>
  <si>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</si>
  <si>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</si>
  <si>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</si>
  <si>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</si>
  <si>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</si>
  <si>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</si>
  <si>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</si>
  <si>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</si>
  <si>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</si>
  <si>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</si>
  <si>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</si>
  <si>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</si>
  <si>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</si>
  <si>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</si>
  <si>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</si>
  <si>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</si>
  <si>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</si>
  <si>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</si>
  <si>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</si>
  <si>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</si>
  <si>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</si>
  <si>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</si>
  <si>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</si>
  <si>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</si>
  <si>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</si>
  <si>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</si>
  <si>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</si>
  <si>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</si>
  <si>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</si>
  <si>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</si>
  <si>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</si>
  <si>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</si>
  <si>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</si>
  <si>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</si>
  <si>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</si>
  <si>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</si>
  <si>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</si>
  <si>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</si>
  <si>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</si>
  <si>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</si>
  <si>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</si>
  <si>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</si>
  <si>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</si>
  <si>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</si>
  <si>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</si>
  <si>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</si>
  <si>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</si>
  <si>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</si>
  <si>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</si>
  <si>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</si>
  <si>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</si>
  <si>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</si>
  <si>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</si>
  <si>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</si>
  <si>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</si>
  <si>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</si>
  <si>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</si>
  <si>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</si>
  <si>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</si>
  <si>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</si>
  <si>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</si>
  <si>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</si>
  <si>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</si>
  <si>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</si>
  <si>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</si>
  <si>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</si>
  <si>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Union Comercial de Guatemala, S.A. - Banco de America Central, S.A.</t>
  </si>
  <si>
    <t>UNICOMER-GRAN PLAZA CURACAO-</t>
  </si>
  <si>
    <t>29/07/2022</t>
  </si>
  <si>
    <t>TARJETA</t>
  </si>
  <si>
    <t>GTQ</t>
  </si>
  <si>
    <t>NOC</t>
  </si>
  <si>
    <t>BESSY ISABETH LOPEZ PEREZ</t>
  </si>
  <si>
    <t>system</t>
  </si>
  <si>
    <t>Union Comercial de Guatemala, S.A. - Banco G&amp;T Continental, S.A.</t>
  </si>
  <si>
    <t>IRIS REBECA MONTERROSO GARCIA</t>
  </si>
  <si>
    <t>CREDOMATIC 6 PAGOS</t>
  </si>
  <si>
    <t>LUISA VIVIANA LOPEZ CALDERON</t>
  </si>
  <si>
    <t>VISANET 10 PAGOS</t>
  </si>
  <si>
    <t>CREDOMATIC 36 PAGOS</t>
  </si>
  <si>
    <t>Etiquetas de columna</t>
  </si>
  <si>
    <t>Total general</t>
  </si>
  <si>
    <t>Etiquetas de fila</t>
  </si>
  <si>
    <t>Suma de MONTO</t>
  </si>
  <si>
    <t>UNICOSERVI</t>
  </si>
  <si>
    <t>CSH</t>
  </si>
  <si>
    <t>12511000117120220729</t>
  </si>
  <si>
    <t>000-000908-4</t>
  </si>
  <si>
    <t>Banco Industrial, S.A.</t>
  </si>
  <si>
    <t>12511000117220220729</t>
  </si>
  <si>
    <t>12511000117320220729</t>
  </si>
  <si>
    <t>UNICOMER</t>
  </si>
  <si>
    <t>000-063091-3</t>
  </si>
  <si>
    <t>BLUESTART GUATEMALA, S.A.</t>
  </si>
  <si>
    <t>NRGL</t>
  </si>
  <si>
    <t>066-0030603-2</t>
  </si>
  <si>
    <t>Banco G&amp;T C</t>
  </si>
  <si>
    <t>Suma de Monto</t>
  </si>
  <si>
    <t>LA CURACAO</t>
  </si>
  <si>
    <t>CRC CENTRO 6A AVENID</t>
  </si>
  <si>
    <t>12511003167320220729</t>
  </si>
  <si>
    <t>79596257468403977</t>
  </si>
  <si>
    <t>Factura Consumidor Final</t>
  </si>
  <si>
    <t>Ventas Contado</t>
  </si>
  <si>
    <t>Efectivo</t>
  </si>
  <si>
    <t/>
  </si>
  <si>
    <t xml:space="preserve">BYRON   RAMIREZ  </t>
  </si>
  <si>
    <t>12511001025020220729</t>
  </si>
  <si>
    <t>53624EC9504318834</t>
  </si>
  <si>
    <t>Venta Cotización contado</t>
  </si>
  <si>
    <t>Tarjeta de Credito</t>
  </si>
  <si>
    <t>125112252201T9</t>
  </si>
  <si>
    <t xml:space="preserve">JUAN CARLOS  POP SAGUI </t>
  </si>
  <si>
    <t>BANCO DE DESARROLLO RURAL, S.A</t>
  </si>
  <si>
    <t>Card</t>
  </si>
  <si>
    <t>12511003166920220729</t>
  </si>
  <si>
    <t>8AE9F7FF3029946192</t>
  </si>
  <si>
    <t>125112032203S2</t>
  </si>
  <si>
    <t xml:space="preserve">MARIA DEL ROSARIO  AGUILAR  </t>
  </si>
  <si>
    <t>12511001024320220729</t>
  </si>
  <si>
    <t>9C912B45379405547</t>
  </si>
  <si>
    <t>125112182203BC</t>
  </si>
  <si>
    <t>Visanet10Pagos</t>
  </si>
  <si>
    <t>12511001027020220729</t>
  </si>
  <si>
    <t>9E657C733213643425</t>
  </si>
  <si>
    <t>1251121922035D</t>
  </si>
  <si>
    <t xml:space="preserve">BYRON   SOL  </t>
  </si>
  <si>
    <t>BANCO GYT CONTINENTAL, S.A.|06</t>
  </si>
  <si>
    <t>12511003167820220729</t>
  </si>
  <si>
    <t>45306467271142568</t>
  </si>
  <si>
    <t>125112022203LB</t>
  </si>
  <si>
    <t xml:space="preserve">GIMMICK COMPANY   SA  </t>
  </si>
  <si>
    <t>BANCO INDUSTRIAL, S.A.|000-063</t>
  </si>
  <si>
    <t>12511001025320220729</t>
  </si>
  <si>
    <t>8311404D2586396128</t>
  </si>
  <si>
    <t>12511219220350</t>
  </si>
  <si>
    <t>FUNDACION RED DE SOBREVIVIENTES DE VIOLE</t>
  </si>
  <si>
    <t>12511002343320220729</t>
  </si>
  <si>
    <t>17B788332981775132</t>
  </si>
  <si>
    <t>12511219220355</t>
  </si>
  <si>
    <t>ESTEPHANY ALEXANDRA TELLO GARCIA</t>
  </si>
  <si>
    <t>12511002342420220729</t>
  </si>
  <si>
    <t>BD47B77F3273213767</t>
  </si>
  <si>
    <t>125112252201T8</t>
  </si>
  <si>
    <t xml:space="preserve">SULMA    CASTELLANOS  </t>
  </si>
  <si>
    <t>12511001026220220729</t>
  </si>
  <si>
    <t>2BF2A8FF1770407811</t>
  </si>
  <si>
    <t>125112282201D7</t>
  </si>
  <si>
    <t xml:space="preserve">ENRIQUE    ROMERO  </t>
  </si>
  <si>
    <t>BANCO PROMERICA, S.A.|1-233105</t>
  </si>
  <si>
    <t>12511003168620220729</t>
  </si>
  <si>
    <t>3226DACB104156093</t>
  </si>
  <si>
    <t>12511002340720220729</t>
  </si>
  <si>
    <t>01236B033204138439</t>
  </si>
  <si>
    <t>12511001027120220729</t>
  </si>
  <si>
    <t>C56AC2DE3414638904</t>
  </si>
  <si>
    <t>125112182203BN</t>
  </si>
  <si>
    <t>CARIN PAOLA  QUEME CAC DE GARCIA</t>
  </si>
  <si>
    <t>12511002342320220729</t>
  </si>
  <si>
    <t>0DBF0BA94250289105</t>
  </si>
  <si>
    <t>125112252201T7</t>
  </si>
  <si>
    <t xml:space="preserve">JORGE MARIO  SANTIZO GARCIA </t>
  </si>
  <si>
    <t>12511002341320220729</t>
  </si>
  <si>
    <t>8DFC3D69702236426</t>
  </si>
  <si>
    <t>125112182203BF</t>
  </si>
  <si>
    <t xml:space="preserve">ORLANDO    BALTAZAR  </t>
  </si>
  <si>
    <t>BANCO DE AMÉRICA CENTRAL, S.A</t>
  </si>
  <si>
    <t>Credomatic6Pagos</t>
  </si>
  <si>
    <t>12511003168820220729</t>
  </si>
  <si>
    <t>CCC751D72695580662</t>
  </si>
  <si>
    <t>125112292201NN</t>
  </si>
  <si>
    <t xml:space="preserve">IRMA   DE LA CERDA  </t>
  </si>
  <si>
    <t>12511001024820220729</t>
  </si>
  <si>
    <t>59F874C21654476277</t>
  </si>
  <si>
    <t>125112232202HK</t>
  </si>
  <si>
    <t xml:space="preserve">EDITH   SAPON  </t>
  </si>
  <si>
    <t>12511001024420220729</t>
  </si>
  <si>
    <t>54487406611798767</t>
  </si>
  <si>
    <t>12511002342020220729</t>
  </si>
  <si>
    <t>BC44C1A1879251003</t>
  </si>
  <si>
    <t>125112022203LD</t>
  </si>
  <si>
    <t xml:space="preserve">MARIO   LAU  </t>
  </si>
  <si>
    <t>Credomatic36Pagos</t>
  </si>
  <si>
    <t>12511001026020220729</t>
  </si>
  <si>
    <t>64C276104014099954</t>
  </si>
  <si>
    <t>125112182203BJ</t>
  </si>
  <si>
    <t>ELDER ALEXANDER ANDRES</t>
  </si>
  <si>
    <t>12511002343120220729</t>
  </si>
  <si>
    <t>3C61B1813043772851</t>
  </si>
  <si>
    <t>125112272201N6</t>
  </si>
  <si>
    <t xml:space="preserve">LUIS    DE LEON   </t>
  </si>
  <si>
    <t>12511001025620220729</t>
  </si>
  <si>
    <t>CF73AD733932441072</t>
  </si>
  <si>
    <t>125112272201N2</t>
  </si>
  <si>
    <t>12511001026320220729</t>
  </si>
  <si>
    <t>CAB081642191016553</t>
  </si>
  <si>
    <t>125112272201NB</t>
  </si>
  <si>
    <t xml:space="preserve">MAYRA   BENAVENTE  </t>
  </si>
  <si>
    <t>(en blanco)</t>
  </si>
  <si>
    <t>Total Venta Cotización contado</t>
  </si>
  <si>
    <t>Total Ventas Contado</t>
  </si>
  <si>
    <t>Total 29/07/2022</t>
  </si>
  <si>
    <t>Total 50201</t>
  </si>
  <si>
    <t>Total CRC CENTRO 6A AVENID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</si>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</sst>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0">
    <xf numFmtId="0" fontId="0" fillId="0" borderId="0" xfId="0"/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12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380003240738" createdVersion="3" refreshedVersion="8" minRefreshableVersion="3" recordCount="29" xr:uid="{6A6A7DEB-2874-472B-98C7-F67BC67FA166}">
  <cacheSource type="worksheet">
    <worksheetSource name="Tabla1"/>
  </cacheSource>
  <cacheFields count="25">
    <cacheField name="NÚMERO TRANSACCION" numFmtId="0">
      <sharedItems containsSemiMixedTypes="0" containsString="0" containsNumber="1" containsInteger="1" minValue="1.2511001024320201E+19" maxValue="1.2511003168820199E+19"/>
    </cacheField>
    <cacheField name="DESC CUENTA" numFmtId="0">
      <sharedItems/>
    </cacheField>
    <cacheField name="CENTRO ANALISIS" numFmtId="0">
      <sharedItems containsSemiMixedTypes="0" containsString="0" containsNumber="1" containsInteger="1" minValue="50201" maxValue="50201" count="1">
        <n v="50201"/>
      </sharedItems>
    </cacheField>
    <cacheField name="RI" numFmtId="0">
      <sharedItems containsSemiMixedTypes="0" containsString="0" containsNumber="1" containsInteger="1" minValue="511" maxValue="511"/>
    </cacheField>
    <cacheField name="NO CAJA" numFmtId="0">
      <sharedItems containsSemiMixedTypes="0" containsString="0" containsNumber="1" containsInteger="1" minValue="1" maxValue="3"/>
    </cacheField>
    <cacheField name="DESC ALMACEN" numFmtId="0">
      <sharedItems count="1">
        <s v="UNICOMER-GRAN PLAZA CURACAO-"/>
      </sharedItems>
    </cacheField>
    <cacheField name="REFERENCIA" numFmtId="0">
      <sharedItems containsSemiMixedTypes="0" containsString="0" containsNumber="1" containsInteger="1" minValue="17437" maxValue="4748431"/>
    </cacheField>
    <cacheField name="PERIODO CONTABLE" numFmtId="17">
      <sharedItems containsSemiMixedTypes="0" containsNonDate="0" containsDate="1" containsString="0" minDate="2022-07-01T00:00:00" maxDate="2022-07-02T00:00:00"/>
    </cacheField>
    <cacheField name="FECHA AUTORIZACIÓN" numFmtId="0">
      <sharedItems count="1">
        <s v="29/07/2022"/>
      </sharedItems>
    </cacheField>
    <cacheField name="TIPO PROMOCIÓN" numFmtId="0">
      <sharedItems/>
    </cacheField>
    <cacheField name="MONEDA" numFmtId="0">
      <sharedItems/>
    </cacheField>
    <cacheField name="MONTO" numFmtId="0">
      <sharedItems containsSemiMixedTypes="0" containsString="0" containsNumber="1" containsInteger="1" minValue="65" maxValue="8145"/>
    </cacheField>
    <cacheField name="NUMERO CONFIRMADO" numFmtId="0">
      <sharedItems containsNonDate="0" containsString="0" containsBlank="1"/>
    </cacheField>
    <cacheField name="Monto Confirmado" numFmtId="0">
      <sharedItems containsNonDate="0" containsString="0" containsBlank="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containsInteger="1" minValue="65" maxValue="8145"/>
    </cacheField>
    <cacheField name="ESTADO" numFmtId="0">
      <sharedItems count="1">
        <s v="NOC"/>
      </sharedItems>
    </cacheField>
    <cacheField name="FECHA BANCO" numFmtId="0">
      <sharedItems containsNonDate="0" containsString="0" containsBlank="1"/>
    </cacheField>
    <cacheField name="NÚMERO DE DEPOSITO" numFmtId="0">
      <sharedItems containsNonDate="0" containsString="0" containsBlank="1"/>
    </cacheField>
    <cacheField name="NÚMERO CCF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LE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380024189813" createdVersion="3" refreshedVersion="8" minRefreshableVersion="3" recordCount="6" xr:uid="{A18C6584-52E8-4238-BF98-9122D228E6C5}">
  <cacheSource type="worksheet">
    <worksheetSource name="Tabla2"/>
  </cacheSource>
  <cacheFields count="27">
    <cacheField name="Compañia" numFmtId="0">
      <sharedItems count="3">
        <s v="UNICOSERVI"/>
        <s v="UNICOMER"/>
        <s v="BLUESTART GUATEMALA, S.A.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50201" maxValue="50201" count="1">
        <n v="50201"/>
      </sharedItems>
    </cacheField>
    <cacheField name="Tienda" numFmtId="0">
      <sharedItems containsSemiMixedTypes="0" containsString="0" containsNumber="1" containsInteger="1" minValue="12511" maxValue="12511"/>
    </cacheField>
    <cacheField name="Desc Almacen" numFmtId="0">
      <sharedItems count="1">
        <s v="UNICOMER-GRAN PLAZA CURACAO-"/>
      </sharedItems>
    </cacheField>
    <cacheField name="Caja" numFmtId="0">
      <sharedItems containsSemiMixedTypes="0" containsString="0" containsNumber="1" containsInteger="1" minValue="1" maxValue="3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7942427" maxValue="85088364"/>
    </cacheField>
    <cacheField name="Numero Cuenta" numFmtId="0">
      <sharedItems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640" maxValue="8475.4"/>
    </cacheField>
    <cacheField name="Fecha Banco" numFmtId="0">
      <sharedItems containsNonDate="0" containsString="0" containsBlank="1"/>
    </cacheField>
    <cacheField name="Número Déposito Confirmado" numFmtId="0">
      <sharedItems containsNonDate="0" containsString="0" containsBlank="1"/>
    </cacheField>
    <cacheField name="Número Cuenta Confirmada" numFmtId="0">
      <sharedItems containsNonDate="0" containsString="0" containsBlank="1"/>
    </cacheField>
    <cacheField name="Monto Confirmado" numFmtId="0">
      <sharedItems containsSemiMixedTypes="0" containsString="0" containsNumber="1" minValue="640" maxValue="8475.4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640" maxValue="8475.4"/>
    </cacheField>
    <cacheField name="Motivo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380079513889" createdVersion="3" refreshedVersion="8" minRefreshableVersion="3" recordCount="24" xr:uid="{761BDA95-C215-4FCF-8D23-1B3D54FD4A98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CRC CENTRO 6A AVENID"/>
      </sharedItems>
    </cacheField>
    <cacheField name="CDA" numFmtId="0">
      <sharedItems containsSemiMixedTypes="0" containsString="0" containsNumber="1" containsInteger="1" minValue="50201" maxValue="50201" count="1">
        <n v="50201"/>
      </sharedItems>
    </cacheField>
    <cacheField name="CAJA" numFmtId="0">
      <sharedItems containsSemiMixedTypes="0" containsString="0" containsNumber="1" containsInteger="1" minValue="1" maxValue="3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243" maxValue="3433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2">
        <s v="Ventas Contado"/>
        <s v="Venta Cotización contado"/>
      </sharedItems>
    </cacheField>
    <cacheField name="FORMA DE PAGO" numFmtId="0">
      <sharedItems count="2">
        <s v="Efectivo"/>
        <s v="Tarjeta de Credito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minValue="10" maxValue="8145"/>
    </cacheField>
    <cacheField name="NUM_COTIZACON" numFmtId="0">
      <sharedItems/>
    </cacheField>
    <cacheField name="NUM_CUENTA" numFmtId="0">
      <sharedItems/>
    </cacheField>
    <cacheField name="NOMBRE_CLIENTE" numFmtId="0">
      <sharedItems containsBlank="1"/>
    </cacheField>
    <cacheField name="BANCO" numFmtId="0">
      <sharedItems containsBlank="1"/>
    </cacheField>
    <cacheField name="AUTORIZACION" numFmtId="0">
      <sharedItems containsNonDate="0" containsString="0" containsBlank="1"/>
    </cacheField>
    <cacheField name="PROMO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n v="1.2511003167520201E+19"/>
    <s v="Union Comercial de Guatemala, S.A. - Banco de America Central, S.A."/>
    <x v="0"/>
    <n v="511"/>
    <n v="3"/>
    <x v="0"/>
    <n v="17437"/>
    <d v="2022-07-01T00:00:00"/>
    <x v="0"/>
    <s v="TARJETA"/>
    <s v="GTQ"/>
    <n v="398"/>
    <m/>
    <m/>
    <m/>
    <n v="1"/>
    <n v="398"/>
    <x v="0"/>
    <m/>
    <m/>
    <m/>
    <m/>
    <m/>
    <s v="BESSY ISABETH LOPEZ PEREZ"/>
    <s v="system"/>
  </r>
  <r>
    <n v="1.25110031678202E+19"/>
    <s v="Union Comercial de Guatemala, S.A. - Banco G&amp;T Continental, S.A."/>
    <x v="0"/>
    <n v="511"/>
    <n v="3"/>
    <x v="0"/>
    <n v="175047"/>
    <d v="2022-07-01T00:00:00"/>
    <x v="0"/>
    <s v="TARJETA"/>
    <s v="GTQ"/>
    <n v="1992"/>
    <m/>
    <m/>
    <m/>
    <n v="1"/>
    <n v="1992"/>
    <x v="0"/>
    <m/>
    <m/>
    <m/>
    <m/>
    <m/>
    <s v="BESSY ISABETH LOPEZ PEREZ"/>
    <s v="system"/>
  </r>
  <r>
    <n v="1.2511001024820199E+19"/>
    <s v="Union Comercial de Guatemala, S.A. - Banco G&amp;T Continental, S.A."/>
    <x v="0"/>
    <n v="511"/>
    <n v="1"/>
    <x v="0"/>
    <n v="576270"/>
    <d v="2022-07-01T00:00:00"/>
    <x v="0"/>
    <s v="TARJETA"/>
    <s v="GTQ"/>
    <n v="2003"/>
    <m/>
    <m/>
    <m/>
    <n v="1"/>
    <n v="2003"/>
    <x v="0"/>
    <m/>
    <m/>
    <m/>
    <m/>
    <m/>
    <s v="IRIS REBECA MONTERROSO GARCIA"/>
    <s v="system"/>
  </r>
  <r>
    <n v="1.25110023413202E+19"/>
    <s v="Union Comercial de Guatemala, S.A. - Banco de America Central, S.A."/>
    <x v="0"/>
    <n v="511"/>
    <n v="2"/>
    <x v="0"/>
    <n v="176619"/>
    <d v="2022-07-01T00:00:00"/>
    <x v="0"/>
    <s v="CREDOMATIC 6 PAGOS"/>
    <s v="GTQ"/>
    <n v="656"/>
    <m/>
    <m/>
    <m/>
    <n v="1"/>
    <n v="656"/>
    <x v="0"/>
    <m/>
    <m/>
    <m/>
    <m/>
    <m/>
    <s v="LUISA VIVIANA LOPEZ CALDERON"/>
    <s v="system"/>
  </r>
  <r>
    <n v="1.25110010271202E+19"/>
    <s v="Union Comercial de Guatemala, S.A. - Banco G&amp;T Continental, S.A."/>
    <x v="0"/>
    <n v="511"/>
    <n v="1"/>
    <x v="0"/>
    <n v="203630"/>
    <d v="2022-07-01T00:00:00"/>
    <x v="0"/>
    <s v="VISANET 10 PAGOS"/>
    <s v="GTQ"/>
    <n v="5999"/>
    <m/>
    <m/>
    <m/>
    <n v="1"/>
    <n v="5999"/>
    <x v="0"/>
    <m/>
    <m/>
    <m/>
    <m/>
    <m/>
    <s v="IRIS REBECA MONTERROSO GARCIA"/>
    <s v="system"/>
  </r>
  <r>
    <n v="1.2511002342620201E+19"/>
    <s v="Union Comercial de Guatemala, S.A. - Banco G&amp;T Continental, S.A."/>
    <x v="0"/>
    <n v="511"/>
    <n v="2"/>
    <x v="0"/>
    <n v="4748431"/>
    <d v="2022-07-01T00:00:00"/>
    <x v="0"/>
    <s v="TARJETA"/>
    <s v="GTQ"/>
    <n v="310"/>
    <m/>
    <m/>
    <m/>
    <n v="1"/>
    <n v="310"/>
    <x v="0"/>
    <m/>
    <m/>
    <m/>
    <m/>
    <m/>
    <s v="LUISA VIVIANA LOPEZ CALDERON"/>
    <s v="system"/>
  </r>
  <r>
    <n v="1.25110010247202E+19"/>
    <s v="Union Comercial de Guatemala, S.A. - Banco G&amp;T Continental, S.A."/>
    <x v="0"/>
    <n v="511"/>
    <n v="1"/>
    <x v="0"/>
    <n v="211399"/>
    <d v="2022-07-01T00:00:00"/>
    <x v="0"/>
    <s v="TARJETA"/>
    <s v="GTQ"/>
    <n v="520"/>
    <m/>
    <m/>
    <m/>
    <n v="1"/>
    <n v="520"/>
    <x v="0"/>
    <m/>
    <m/>
    <m/>
    <m/>
    <m/>
    <s v="IRIS REBECA MONTERROSO GARCIA"/>
    <s v="system"/>
  </r>
  <r>
    <n v="1.2511003167220199E+19"/>
    <s v="Union Comercial de Guatemala, S.A. - Banco G&amp;T Continental, S.A."/>
    <x v="0"/>
    <n v="511"/>
    <n v="3"/>
    <x v="0"/>
    <n v="710704"/>
    <d v="2022-07-01T00:00:00"/>
    <x v="0"/>
    <s v="TARJETA"/>
    <s v="GTQ"/>
    <n v="657"/>
    <m/>
    <m/>
    <m/>
    <n v="1"/>
    <n v="657"/>
    <x v="0"/>
    <m/>
    <m/>
    <m/>
    <m/>
    <m/>
    <s v="BESSY ISABETH LOPEZ PEREZ"/>
    <s v="system"/>
  </r>
  <r>
    <n v="1.25110010263202E+19"/>
    <s v="Union Comercial de Guatemala, S.A. - Banco G&amp;T Continental, S.A."/>
    <x v="0"/>
    <n v="511"/>
    <n v="1"/>
    <x v="0"/>
    <n v="249696"/>
    <d v="2022-07-01T00:00:00"/>
    <x v="0"/>
    <s v="TARJETA"/>
    <s v="GTQ"/>
    <n v="187"/>
    <m/>
    <m/>
    <m/>
    <n v="1"/>
    <n v="187"/>
    <x v="0"/>
    <m/>
    <m/>
    <m/>
    <m/>
    <m/>
    <s v="IRIS REBECA MONTERROSO GARCIA"/>
    <s v="system"/>
  </r>
  <r>
    <n v="1.25110031671202E+19"/>
    <s v="Union Comercial de Guatemala, S.A. - Banco G&amp;T Continental, S.A."/>
    <x v="0"/>
    <n v="511"/>
    <n v="3"/>
    <x v="0"/>
    <n v="710704"/>
    <d v="2022-07-01T00:00:00"/>
    <x v="0"/>
    <s v="TARJETA"/>
    <s v="GTQ"/>
    <n v="291"/>
    <m/>
    <m/>
    <m/>
    <n v="1"/>
    <n v="291"/>
    <x v="0"/>
    <m/>
    <m/>
    <m/>
    <m/>
    <m/>
    <s v="BESSY ISABETH LOPEZ PEREZ"/>
    <s v="system"/>
  </r>
  <r>
    <n v="1.2511003168820199E+19"/>
    <s v="Union Comercial de Guatemala, S.A. - Banco G&amp;T Continental, S.A."/>
    <x v="0"/>
    <n v="511"/>
    <n v="3"/>
    <x v="0"/>
    <n v="171595"/>
    <d v="2022-07-01T00:00:00"/>
    <x v="0"/>
    <s v="VISANET 10 PAGOS"/>
    <s v="GTQ"/>
    <n v="2299"/>
    <m/>
    <m/>
    <m/>
    <n v="1"/>
    <n v="2299"/>
    <x v="0"/>
    <m/>
    <m/>
    <m/>
    <m/>
    <m/>
    <s v="BESSY ISABETH LOPEZ PEREZ"/>
    <s v="system"/>
  </r>
  <r>
    <n v="1.25110010269202E+19"/>
    <s v="Union Comercial de Guatemala, S.A. - Banco G&amp;T Continental, S.A."/>
    <x v="0"/>
    <n v="511"/>
    <n v="1"/>
    <x v="0"/>
    <n v="234359"/>
    <d v="2022-07-01T00:00:00"/>
    <x v="0"/>
    <s v="TARJETA"/>
    <s v="GTQ"/>
    <n v="180"/>
    <m/>
    <m/>
    <m/>
    <n v="1"/>
    <n v="180"/>
    <x v="0"/>
    <m/>
    <m/>
    <m/>
    <m/>
    <m/>
    <s v="IRIS REBECA MONTERROSO GARCIA"/>
    <s v="system"/>
  </r>
  <r>
    <n v="1.2511001024320201E+19"/>
    <s v="Union Comercial de Guatemala, S.A. - Banco G&amp;T Continental, S.A."/>
    <x v="0"/>
    <n v="511"/>
    <n v="1"/>
    <x v="0"/>
    <n v="856755"/>
    <d v="2022-07-01T00:00:00"/>
    <x v="0"/>
    <s v="VISANET 10 PAGOS"/>
    <s v="GTQ"/>
    <n v="8145"/>
    <m/>
    <m/>
    <m/>
    <n v="1"/>
    <n v="8145"/>
    <x v="0"/>
    <m/>
    <m/>
    <m/>
    <m/>
    <m/>
    <s v="IRIS REBECA MONTERROSO GARCIA"/>
    <s v="system"/>
  </r>
  <r>
    <n v="1.25110031678202E+19"/>
    <s v="Union Comercial de Guatemala, S.A. - Banco G&amp;T Continental, S.A."/>
    <x v="0"/>
    <n v="511"/>
    <n v="3"/>
    <x v="0"/>
    <n v="149773"/>
    <d v="2022-07-01T00:00:00"/>
    <x v="0"/>
    <s v="TARJETA"/>
    <s v="GTQ"/>
    <n v="1993"/>
    <m/>
    <m/>
    <m/>
    <n v="1"/>
    <n v="1993"/>
    <x v="0"/>
    <m/>
    <m/>
    <m/>
    <m/>
    <m/>
    <s v="BESSY ISABETH LOPEZ PEREZ"/>
    <s v="system"/>
  </r>
  <r>
    <n v="1.2511003168120199E+19"/>
    <s v="Union Comercial de Guatemala, S.A. - Banco G&amp;T Continental, S.A."/>
    <x v="0"/>
    <n v="511"/>
    <n v="3"/>
    <x v="0"/>
    <n v="170767"/>
    <d v="2022-07-01T00:00:00"/>
    <x v="0"/>
    <s v="TARJETA"/>
    <s v="GTQ"/>
    <n v="1500"/>
    <m/>
    <m/>
    <m/>
    <n v="1"/>
    <n v="1500"/>
    <x v="0"/>
    <m/>
    <m/>
    <m/>
    <m/>
    <m/>
    <s v="BESSY ISABETH LOPEZ PEREZ"/>
    <s v="system"/>
  </r>
  <r>
    <n v="1.25110023412202E+19"/>
    <s v="Union Comercial de Guatemala, S.A. - Banco G&amp;T Continental, S.A."/>
    <x v="0"/>
    <n v="511"/>
    <n v="2"/>
    <x v="0"/>
    <n v="741309"/>
    <d v="2022-07-01T00:00:00"/>
    <x v="0"/>
    <s v="TARJETA"/>
    <s v="GTQ"/>
    <n v="550"/>
    <m/>
    <m/>
    <m/>
    <n v="1"/>
    <n v="550"/>
    <x v="0"/>
    <m/>
    <m/>
    <m/>
    <m/>
    <m/>
    <s v="LUISA VIVIANA LOPEZ CALDERON"/>
    <s v="system"/>
  </r>
  <r>
    <n v="1.25110023415202E+19"/>
    <s v="Union Comercial de Guatemala, S.A. - Banco G&amp;T Continental, S.A."/>
    <x v="0"/>
    <n v="511"/>
    <n v="2"/>
    <x v="0"/>
    <n v="177134"/>
    <d v="2022-07-01T00:00:00"/>
    <x v="0"/>
    <s v="TARJETA"/>
    <s v="GTQ"/>
    <n v="258"/>
    <m/>
    <m/>
    <m/>
    <n v="1"/>
    <n v="258"/>
    <x v="0"/>
    <m/>
    <m/>
    <m/>
    <m/>
    <m/>
    <s v="LUISA VIVIANA LOPEZ CALDERON"/>
    <s v="system"/>
  </r>
  <r>
    <n v="1.2511001024820199E+19"/>
    <s v="Union Comercial de Guatemala, S.A. - Banco G&amp;T Continental, S.A."/>
    <x v="0"/>
    <n v="511"/>
    <n v="1"/>
    <x v="0"/>
    <n v="135171"/>
    <d v="2022-07-01T00:00:00"/>
    <x v="0"/>
    <s v="TARJETA"/>
    <s v="GTQ"/>
    <n v="3391"/>
    <m/>
    <m/>
    <m/>
    <n v="1"/>
    <n v="3391"/>
    <x v="0"/>
    <m/>
    <m/>
    <m/>
    <m/>
    <m/>
    <s v="IRIS REBECA MONTERROSO GARCIA"/>
    <s v="system"/>
  </r>
  <r>
    <n v="1.25110010270202E+19"/>
    <s v="Union Comercial de Guatemala, S.A. - Banco G&amp;T Continental, S.A."/>
    <x v="0"/>
    <n v="511"/>
    <n v="1"/>
    <x v="0"/>
    <n v="199095"/>
    <d v="2022-07-01T00:00:00"/>
    <x v="0"/>
    <s v="TARJETA"/>
    <s v="GTQ"/>
    <n v="2797"/>
    <m/>
    <m/>
    <m/>
    <n v="1"/>
    <n v="2797"/>
    <x v="0"/>
    <m/>
    <m/>
    <m/>
    <m/>
    <m/>
    <s v="IRIS REBECA MONTERROSO GARCIA"/>
    <s v="system"/>
  </r>
  <r>
    <n v="1.2511001025020201E+19"/>
    <s v="Union Comercial de Guatemala, S.A. - Banco G&amp;T Continental, S.A."/>
    <x v="0"/>
    <n v="511"/>
    <n v="1"/>
    <x v="0"/>
    <n v="912353"/>
    <d v="2022-07-01T00:00:00"/>
    <x v="0"/>
    <s v="TARJETA"/>
    <s v="GTQ"/>
    <n v="1497"/>
    <m/>
    <m/>
    <m/>
    <n v="1"/>
    <n v="1497"/>
    <x v="0"/>
    <m/>
    <m/>
    <m/>
    <m/>
    <m/>
    <s v="IRIS REBECA MONTERROSO GARCIA"/>
    <s v="system"/>
  </r>
  <r>
    <n v="1.25110031676202E+19"/>
    <s v="Union Comercial de Guatemala, S.A. - Banco G&amp;T Continental, S.A."/>
    <x v="0"/>
    <n v="511"/>
    <n v="3"/>
    <x v="0"/>
    <n v="215859"/>
    <d v="2022-07-01T00:00:00"/>
    <x v="0"/>
    <s v="TARJETA"/>
    <s v="GTQ"/>
    <n v="684"/>
    <m/>
    <m/>
    <m/>
    <n v="1"/>
    <n v="684"/>
    <x v="0"/>
    <m/>
    <m/>
    <m/>
    <m/>
    <m/>
    <s v="BESSY ISABETH LOPEZ PEREZ"/>
    <s v="system"/>
  </r>
  <r>
    <n v="1.25110031687202E+19"/>
    <s v="Union Comercial de Guatemala, S.A. - Banco G&amp;T Continental, S.A."/>
    <x v="0"/>
    <n v="511"/>
    <n v="3"/>
    <x v="0"/>
    <n v="170068"/>
    <d v="2022-07-01T00:00:00"/>
    <x v="0"/>
    <s v="TARJETA"/>
    <s v="GTQ"/>
    <n v="1000"/>
    <m/>
    <m/>
    <m/>
    <n v="1"/>
    <n v="1000"/>
    <x v="0"/>
    <m/>
    <m/>
    <m/>
    <m/>
    <m/>
    <s v="BESSY ISABETH LOPEZ PEREZ"/>
    <s v="system"/>
  </r>
  <r>
    <n v="1.25110010262202E+19"/>
    <s v="Union Comercial de Guatemala, S.A. - Banco G&amp;T Continental, S.A."/>
    <x v="0"/>
    <n v="511"/>
    <n v="1"/>
    <x v="0"/>
    <n v="269125"/>
    <d v="2022-07-01T00:00:00"/>
    <x v="0"/>
    <s v="VISANET 10 PAGOS"/>
    <s v="GTQ"/>
    <n v="4679"/>
    <m/>
    <m/>
    <m/>
    <n v="1"/>
    <n v="4679"/>
    <x v="0"/>
    <m/>
    <m/>
    <m/>
    <m/>
    <m/>
    <s v="IRIS REBECA MONTERROSO GARCIA"/>
    <s v="system"/>
  </r>
  <r>
    <n v="1.2511003167420201E+19"/>
    <s v="Union Comercial de Guatemala, S.A. - Banco G&amp;T Continental, S.A."/>
    <x v="0"/>
    <n v="511"/>
    <n v="3"/>
    <x v="0"/>
    <n v="602276"/>
    <d v="2022-07-01T00:00:00"/>
    <x v="0"/>
    <s v="TARJETA"/>
    <s v="GTQ"/>
    <n v="65"/>
    <m/>
    <m/>
    <m/>
    <n v="1"/>
    <n v="65"/>
    <x v="0"/>
    <m/>
    <m/>
    <m/>
    <m/>
    <m/>
    <s v="BESSY ISABETH LOPEZ PEREZ"/>
    <s v="system"/>
  </r>
  <r>
    <n v="1.25110010255202E+19"/>
    <s v="Union Comercial de Guatemala, S.A. - Banco G&amp;T Continental, S.A."/>
    <x v="0"/>
    <n v="511"/>
    <n v="1"/>
    <x v="0"/>
    <n v="262010"/>
    <d v="2022-07-01T00:00:00"/>
    <x v="0"/>
    <s v="TARJETA"/>
    <s v="GTQ"/>
    <n v="504"/>
    <m/>
    <m/>
    <m/>
    <n v="1"/>
    <n v="504"/>
    <x v="0"/>
    <m/>
    <m/>
    <m/>
    <m/>
    <m/>
    <s v="IRIS REBECA MONTERROSO GARCIA"/>
    <s v="system"/>
  </r>
  <r>
    <n v="1.2511002341920201E+19"/>
    <s v="Union Comercial de Guatemala, S.A. - Banco de America Central, S.A."/>
    <x v="0"/>
    <n v="511"/>
    <n v="2"/>
    <x v="0"/>
    <n v="17438"/>
    <d v="2022-07-01T00:00:00"/>
    <x v="0"/>
    <s v="TARJETA"/>
    <s v="GTQ"/>
    <n v="545"/>
    <m/>
    <m/>
    <m/>
    <n v="1"/>
    <n v="545"/>
    <x v="0"/>
    <m/>
    <m/>
    <m/>
    <m/>
    <m/>
    <s v="LUISA VIVIANA LOPEZ CALDERON"/>
    <s v="system"/>
  </r>
  <r>
    <n v="1.25110023420202E+19"/>
    <s v="Union Comercial de Guatemala, S.A. - Banco de America Central, S.A."/>
    <x v="0"/>
    <n v="511"/>
    <n v="2"/>
    <x v="0"/>
    <n v="185606"/>
    <d v="2022-07-01T00:00:00"/>
    <x v="0"/>
    <s v="CREDOMATIC 36 PAGOS"/>
    <s v="GTQ"/>
    <n v="1197"/>
    <m/>
    <m/>
    <m/>
    <n v="1"/>
    <n v="1197"/>
    <x v="0"/>
    <m/>
    <m/>
    <m/>
    <m/>
    <m/>
    <s v="LUISA VIVIANA LOPEZ CALDERON"/>
    <s v="system"/>
  </r>
  <r>
    <n v="1.2511002341620199E+19"/>
    <s v="Union Comercial de Guatemala, S.A. - Banco G&amp;T Continental, S.A."/>
    <x v="0"/>
    <n v="511"/>
    <n v="2"/>
    <x v="0"/>
    <n v="177134"/>
    <d v="2022-07-01T00:00:00"/>
    <x v="0"/>
    <s v="TARJETA"/>
    <s v="GTQ"/>
    <n v="284"/>
    <m/>
    <m/>
    <m/>
    <n v="1"/>
    <n v="284"/>
    <x v="0"/>
    <m/>
    <m/>
    <m/>
    <m/>
    <m/>
    <s v="LUISA VIVIANA LOPEZ CALDERON"/>
    <s v="system"/>
  </r>
  <r>
    <n v="1.2511001025820201E+19"/>
    <s v="Union Comercial de Guatemala, S.A. - Banco G&amp;T Continental, S.A."/>
    <x v="0"/>
    <n v="511"/>
    <n v="1"/>
    <x v="0"/>
    <n v="953246"/>
    <d v="2022-07-01T00:00:00"/>
    <x v="0"/>
    <s v="TARJETA"/>
    <s v="GTQ"/>
    <n v="1000"/>
    <m/>
    <m/>
    <m/>
    <n v="1"/>
    <n v="1000"/>
    <x v="0"/>
    <m/>
    <m/>
    <m/>
    <m/>
    <m/>
    <s v="IRIS REBECA MONTERROSO GARCIA"/>
    <s v="syste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d v="2022-07-01T00:00:00"/>
    <s v="CSH"/>
    <s v="12511000117120220729"/>
    <x v="0"/>
    <n v="12511"/>
    <x v="0"/>
    <n v="3"/>
    <s v="NOC"/>
    <x v="0"/>
    <n v="85088364"/>
    <s v="000-000908-4"/>
    <s v="Banco Industrial, S.A."/>
    <s v="GTQ"/>
    <n v="8475.4"/>
    <m/>
    <m/>
    <m/>
    <n v="8475.4"/>
    <m/>
    <n v="1"/>
    <n v="8475.4"/>
    <m/>
    <m/>
    <m/>
    <s v="BESSY ISABETH LOPEZ PEREZ"/>
    <m/>
  </r>
  <r>
    <x v="0"/>
    <d v="2022-07-01T00:00:00"/>
    <s v="CSH"/>
    <s v="12511000117220220729"/>
    <x v="0"/>
    <n v="12511"/>
    <x v="0"/>
    <n v="2"/>
    <s v="NOC"/>
    <x v="0"/>
    <n v="85088299"/>
    <s v="000-000908-4"/>
    <s v="Banco Industrial, S.A."/>
    <s v="GTQ"/>
    <n v="3635.95"/>
    <m/>
    <m/>
    <m/>
    <n v="3635.95"/>
    <m/>
    <n v="1"/>
    <n v="3635.95"/>
    <m/>
    <m/>
    <m/>
    <s v="BESSY ISABETH LOPEZ PEREZ"/>
    <m/>
  </r>
  <r>
    <x v="0"/>
    <d v="2022-07-01T00:00:00"/>
    <s v="CSH"/>
    <s v="12511000117320220729"/>
    <x v="0"/>
    <n v="12511"/>
    <x v="0"/>
    <n v="1"/>
    <s v="NOC"/>
    <x v="0"/>
    <n v="80573087"/>
    <s v="000-000908-4"/>
    <s v="Banco Industrial, S.A."/>
    <s v="GTQ"/>
    <n v="6197.05"/>
    <m/>
    <m/>
    <m/>
    <n v="6197.05"/>
    <m/>
    <n v="1"/>
    <n v="6197.05"/>
    <m/>
    <m/>
    <m/>
    <s v="IRIS REBECA MONTERROSO GARCIA"/>
    <m/>
  </r>
  <r>
    <x v="1"/>
    <d v="2022-07-01T00:00:00"/>
    <s v="CSH"/>
    <s v="12511000117320220729"/>
    <x v="0"/>
    <n v="12511"/>
    <x v="0"/>
    <n v="1"/>
    <s v="NOC"/>
    <x v="0"/>
    <n v="80573344"/>
    <s v="000-063091-3"/>
    <s v="Banco Industrial, S.A."/>
    <s v="GTQ"/>
    <n v="7309.8"/>
    <m/>
    <m/>
    <m/>
    <n v="7309.8"/>
    <m/>
    <n v="1"/>
    <n v="7309.8"/>
    <m/>
    <m/>
    <m/>
    <s v="IRIS REBECA MONTERROSO GARCIA"/>
    <m/>
  </r>
  <r>
    <x v="2"/>
    <d v="2022-07-01T00:00:00"/>
    <s v="CSH"/>
    <s v="12511000117220220729"/>
    <x v="0"/>
    <n v="12511"/>
    <x v="0"/>
    <n v="2"/>
    <s v="NRGL"/>
    <x v="0"/>
    <n v="7942982"/>
    <s v="066-0030603-2"/>
    <s v="Banco G&amp;T C"/>
    <s v="GTQ"/>
    <n v="640"/>
    <m/>
    <m/>
    <m/>
    <n v="640"/>
    <m/>
    <n v="1"/>
    <n v="640"/>
    <m/>
    <m/>
    <m/>
    <s v="BESSY ISABETH LOPEZ PEREZ"/>
    <m/>
  </r>
  <r>
    <x v="2"/>
    <d v="2022-07-01T00:00:00"/>
    <s v="CSH"/>
    <s v="12511000117320220729"/>
    <x v="0"/>
    <n v="12511"/>
    <x v="0"/>
    <n v="1"/>
    <s v="NRGL"/>
    <x v="0"/>
    <n v="7942427"/>
    <s v="066-0030603-2"/>
    <s v="Banco G&amp;T C"/>
    <s v="GTQ"/>
    <n v="691"/>
    <m/>
    <m/>
    <m/>
    <n v="691"/>
    <m/>
    <n v="1"/>
    <n v="691"/>
    <m/>
    <m/>
    <m/>
    <s v="IRIS REBECA MONTERROSO GARCIA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LA CURACAO"/>
    <x v="0"/>
    <x v="0"/>
    <n v="3"/>
    <x v="0"/>
    <n v="1673"/>
    <s v="12511003167320220729"/>
    <m/>
    <m/>
    <s v="79596257468403977"/>
    <m/>
    <s v="Factura Consumidor Final"/>
    <x v="0"/>
    <x v="0"/>
    <x v="0"/>
    <n v="630"/>
    <s v=""/>
    <s v=""/>
    <s v="BYRON   RAMIREZ  "/>
    <m/>
    <m/>
    <m/>
  </r>
  <r>
    <s v="LA CURACAO"/>
    <x v="0"/>
    <x v="0"/>
    <n v="1"/>
    <x v="0"/>
    <n v="250"/>
    <s v="12511001025020220729"/>
    <m/>
    <m/>
    <s v="53624EC9504318834"/>
    <m/>
    <s v="Factura Consumidor Final"/>
    <x v="1"/>
    <x v="1"/>
    <x v="0"/>
    <n v="1497"/>
    <s v="125112252201T9"/>
    <s v=""/>
    <s v="JUAN CARLOS  POP SAGUI "/>
    <s v="BANCO DE DESARROLLO RURAL, S.A"/>
    <m/>
    <s v="Card"/>
  </r>
  <r>
    <s v="LA CURACAO"/>
    <x v="0"/>
    <x v="0"/>
    <n v="3"/>
    <x v="0"/>
    <n v="1669"/>
    <s v="12511003166920220729"/>
    <m/>
    <m/>
    <s v="8AE9F7FF3029946192"/>
    <m/>
    <s v="Factura Consumidor Final"/>
    <x v="1"/>
    <x v="0"/>
    <x v="0"/>
    <n v="117"/>
    <s v="125112032203S2"/>
    <s v=""/>
    <s v="MARIA DEL ROSARIO  AGUILAR  "/>
    <m/>
    <m/>
    <m/>
  </r>
  <r>
    <s v="LA CURACAO"/>
    <x v="0"/>
    <x v="0"/>
    <n v="1"/>
    <x v="0"/>
    <n v="243"/>
    <s v="12511001024320220729"/>
    <m/>
    <m/>
    <s v="9C912B45379405547"/>
    <m/>
    <s v="Factura Consumidor Final"/>
    <x v="1"/>
    <x v="1"/>
    <x v="0"/>
    <n v="8145"/>
    <s v="125112182203BC"/>
    <s v=""/>
    <s v="BYRON   RAMIREZ  "/>
    <s v="BANCO DE DESARROLLO RURAL, S.A"/>
    <m/>
    <s v="Visanet10Pagos"/>
  </r>
  <r>
    <s v="LA CURACAO"/>
    <x v="0"/>
    <x v="0"/>
    <n v="1"/>
    <x v="0"/>
    <n v="270"/>
    <s v="12511001027020220729"/>
    <m/>
    <m/>
    <s v="9E657C733213643425"/>
    <m/>
    <s v="Factura Consumidor Final"/>
    <x v="1"/>
    <x v="1"/>
    <x v="0"/>
    <n v="2797"/>
    <s v="1251121922035D"/>
    <s v=""/>
    <s v="BYRON   SOL  "/>
    <s v="BANCO GYT CONTINENTAL, S.A.|06"/>
    <m/>
    <s v="Card"/>
  </r>
  <r>
    <s v="LA CURACAO"/>
    <x v="0"/>
    <x v="0"/>
    <n v="3"/>
    <x v="0"/>
    <n v="1678"/>
    <s v="12511003167820220729"/>
    <m/>
    <m/>
    <s v="45306467271142568"/>
    <m/>
    <s v="Factura Consumidor Final"/>
    <x v="1"/>
    <x v="1"/>
    <x v="0"/>
    <n v="3985"/>
    <s v="125112022203LB"/>
    <s v=""/>
    <s v="GIMMICK COMPANY   SA  "/>
    <s v="BANCO INDUSTRIAL, S.A.|000-063"/>
    <m/>
    <s v="Card"/>
  </r>
  <r>
    <s v="LA CURACAO"/>
    <x v="0"/>
    <x v="0"/>
    <n v="1"/>
    <x v="0"/>
    <n v="253"/>
    <s v="12511001025320220729"/>
    <m/>
    <m/>
    <s v="8311404D2586396128"/>
    <m/>
    <s v="Factura Consumidor Final"/>
    <x v="1"/>
    <x v="0"/>
    <x v="0"/>
    <n v="1359.15"/>
    <s v="12511219220350"/>
    <s v=""/>
    <s v="FUNDACION RED DE SOBREVIVIENTES DE VIOLE"/>
    <m/>
    <m/>
    <m/>
  </r>
  <r>
    <s v="LA CURACAO"/>
    <x v="0"/>
    <x v="0"/>
    <n v="2"/>
    <x v="0"/>
    <n v="3433"/>
    <s v="12511002343320220729"/>
    <m/>
    <m/>
    <s v="17B788332981775132"/>
    <m/>
    <s v="Factura Consumidor Final"/>
    <x v="1"/>
    <x v="0"/>
    <x v="0"/>
    <n v="324"/>
    <s v="12511219220355"/>
    <s v=""/>
    <s v="ESTEPHANY ALEXANDRA TELLO GARCIA"/>
    <m/>
    <m/>
    <m/>
  </r>
  <r>
    <s v="LA CURACAO"/>
    <x v="0"/>
    <x v="0"/>
    <n v="2"/>
    <x v="0"/>
    <n v="3424"/>
    <s v="12511002342420220729"/>
    <m/>
    <m/>
    <s v="BD47B77F3273213767"/>
    <m/>
    <s v="Factura Consumidor Final"/>
    <x v="1"/>
    <x v="0"/>
    <x v="0"/>
    <n v="179"/>
    <s v="125112252201T8"/>
    <s v=""/>
    <s v="SULMA    CASTELLANOS  "/>
    <m/>
    <m/>
    <m/>
  </r>
  <r>
    <s v="LA CURACAO"/>
    <x v="0"/>
    <x v="0"/>
    <n v="1"/>
    <x v="0"/>
    <n v="262"/>
    <s v="12511001026220220729"/>
    <m/>
    <m/>
    <s v="2BF2A8FF1770407811"/>
    <m/>
    <s v="Factura Consumidor Final"/>
    <x v="1"/>
    <x v="1"/>
    <x v="0"/>
    <n v="4679"/>
    <s v="125112282201D7"/>
    <s v=""/>
    <s v="ENRIQUE    ROMERO  "/>
    <s v="BANCO PROMERICA, S.A.|1-233105"/>
    <m/>
    <s v="Visanet10Pagos"/>
  </r>
  <r>
    <s v="LA CURACAO"/>
    <x v="0"/>
    <x v="0"/>
    <n v="3"/>
    <x v="0"/>
    <n v="1686"/>
    <s v="12511003168620220729"/>
    <m/>
    <m/>
    <s v="3226DACB104156093"/>
    <m/>
    <s v="Factura Consumidor Final"/>
    <x v="0"/>
    <x v="0"/>
    <x v="0"/>
    <n v="30"/>
    <s v=""/>
    <s v=""/>
    <m/>
    <m/>
    <m/>
    <m/>
  </r>
  <r>
    <s v="LA CURACAO"/>
    <x v="0"/>
    <x v="0"/>
    <n v="2"/>
    <x v="0"/>
    <n v="3407"/>
    <s v="12511002340720220729"/>
    <m/>
    <m/>
    <s v="01236B033204138439"/>
    <m/>
    <s v="Factura Consumidor Final"/>
    <x v="0"/>
    <x v="0"/>
    <x v="0"/>
    <n v="10"/>
    <s v=""/>
    <s v=""/>
    <m/>
    <m/>
    <m/>
    <m/>
  </r>
  <r>
    <s v="LA CURACAO"/>
    <x v="0"/>
    <x v="0"/>
    <n v="1"/>
    <x v="0"/>
    <n v="271"/>
    <s v="12511001027120220729"/>
    <m/>
    <m/>
    <s v="C56AC2DE3414638904"/>
    <m/>
    <s v="Factura Consumidor Final"/>
    <x v="1"/>
    <x v="1"/>
    <x v="0"/>
    <n v="5999"/>
    <s v="125112182203BN"/>
    <s v=""/>
    <s v="CARIN PAOLA  QUEME CAC DE GARCIA"/>
    <s v="BANCO INDUSTRIAL, S.A.|000-063"/>
    <m/>
    <s v="Visanet10Pagos"/>
  </r>
  <r>
    <s v="LA CURACAO"/>
    <x v="0"/>
    <x v="0"/>
    <n v="2"/>
    <x v="0"/>
    <n v="3423"/>
    <s v="12511002342320220729"/>
    <m/>
    <m/>
    <s v="0DBF0BA94250289105"/>
    <m/>
    <s v="Factura Consumidor Final"/>
    <x v="1"/>
    <x v="0"/>
    <x v="0"/>
    <n v="4197"/>
    <s v="125112252201T7"/>
    <s v=""/>
    <s v="JORGE MARIO  SANTIZO GARCIA "/>
    <m/>
    <m/>
    <m/>
  </r>
  <r>
    <s v="LA CURACAO"/>
    <x v="0"/>
    <x v="0"/>
    <n v="2"/>
    <x v="0"/>
    <n v="3413"/>
    <s v="12511002341320220729"/>
    <m/>
    <m/>
    <s v="8DFC3D69702236426"/>
    <m/>
    <s v="Factura Consumidor Final"/>
    <x v="1"/>
    <x v="1"/>
    <x v="0"/>
    <n v="656"/>
    <s v="125112182203BF"/>
    <s v=""/>
    <s v="ORLANDO    BALTAZAR  "/>
    <s v="BANCO DE AMÉRICA CENTRAL, S.A"/>
    <m/>
    <s v="Credomatic6Pagos"/>
  </r>
  <r>
    <s v="LA CURACAO"/>
    <x v="0"/>
    <x v="0"/>
    <n v="3"/>
    <x v="0"/>
    <n v="1688"/>
    <s v="12511003168820220729"/>
    <m/>
    <m/>
    <s v="CCC751D72695580662"/>
    <m/>
    <s v="Factura Consumidor Final"/>
    <x v="1"/>
    <x v="1"/>
    <x v="0"/>
    <n v="2299"/>
    <s v="125112292201NN"/>
    <s v=""/>
    <s v="IRMA   DE LA CERDA  "/>
    <s v="BANCO INDUSTRIAL, S.A.|000-063"/>
    <m/>
    <s v="Visanet10Pagos"/>
  </r>
  <r>
    <s v="LA CURACAO"/>
    <x v="0"/>
    <x v="0"/>
    <n v="1"/>
    <x v="0"/>
    <n v="248"/>
    <s v="12511001024820220729"/>
    <m/>
    <m/>
    <s v="59F874C21654476277"/>
    <m/>
    <s v="Factura Consumidor Final"/>
    <x v="1"/>
    <x v="1"/>
    <x v="0"/>
    <n v="3391"/>
    <s v="125112232202HK"/>
    <s v=""/>
    <s v="EDITH   SAPON  "/>
    <s v="BANCO GYT CONTINENTAL, S.A.|06"/>
    <m/>
    <s v="Card"/>
  </r>
  <r>
    <s v="LA CURACAO"/>
    <x v="0"/>
    <x v="0"/>
    <n v="1"/>
    <x v="0"/>
    <n v="248"/>
    <s v="12511001024820220729"/>
    <m/>
    <m/>
    <s v="59F874C21654476277"/>
    <m/>
    <s v="Factura Consumidor Final"/>
    <x v="1"/>
    <x v="1"/>
    <x v="0"/>
    <n v="2003"/>
    <s v="125112232202HK"/>
    <s v=""/>
    <s v="EDITH   SAPON  "/>
    <s v="BANCO PROMERICA, S.A.|1-233105"/>
    <m/>
    <s v="Card"/>
  </r>
  <r>
    <s v="LA CURACAO"/>
    <x v="0"/>
    <x v="0"/>
    <n v="1"/>
    <x v="0"/>
    <n v="244"/>
    <s v="12511001024420220729"/>
    <m/>
    <m/>
    <s v="54487406611798767"/>
    <m/>
    <s v="Factura Consumidor Final"/>
    <x v="0"/>
    <x v="0"/>
    <x v="0"/>
    <n v="10"/>
    <s v=""/>
    <s v=""/>
    <m/>
    <m/>
    <m/>
    <m/>
  </r>
  <r>
    <s v="LA CURACAO"/>
    <x v="0"/>
    <x v="0"/>
    <n v="2"/>
    <x v="0"/>
    <n v="3420"/>
    <s v="12511002342020220729"/>
    <m/>
    <m/>
    <s v="BC44C1A1879251003"/>
    <m/>
    <s v="Factura Consumidor Final"/>
    <x v="1"/>
    <x v="1"/>
    <x v="0"/>
    <n v="1197"/>
    <s v="125112022203LD"/>
    <s v=""/>
    <s v="MARIO   LAU  "/>
    <s v="BANCO DE AMÉRICA CENTRAL, S.A"/>
    <m/>
    <s v="Credomatic36Pagos"/>
  </r>
  <r>
    <s v="LA CURACAO"/>
    <x v="0"/>
    <x v="0"/>
    <n v="1"/>
    <x v="0"/>
    <n v="260"/>
    <s v="12511001026020220729"/>
    <m/>
    <m/>
    <s v="64C276104014099954"/>
    <m/>
    <s v="Factura Consumidor Final"/>
    <x v="1"/>
    <x v="0"/>
    <x v="0"/>
    <n v="5297"/>
    <s v="125112182203BJ"/>
    <s v=""/>
    <s v="ELDER ALEXANDER ANDRES"/>
    <m/>
    <m/>
    <m/>
  </r>
  <r>
    <s v="LA CURACAO"/>
    <x v="0"/>
    <x v="0"/>
    <n v="2"/>
    <x v="0"/>
    <n v="3431"/>
    <s v="12511002343120220729"/>
    <m/>
    <m/>
    <s v="3C61B1813043772851"/>
    <m/>
    <s v="Factura Consumidor Final"/>
    <x v="1"/>
    <x v="0"/>
    <x v="0"/>
    <n v="99"/>
    <s v="125112272201N6"/>
    <s v=""/>
    <s v="LUIS    DE LEON   "/>
    <m/>
    <m/>
    <m/>
  </r>
  <r>
    <s v="LA CURACAO"/>
    <x v="0"/>
    <x v="0"/>
    <n v="1"/>
    <x v="0"/>
    <n v="256"/>
    <s v="12511001025620220729"/>
    <m/>
    <m/>
    <s v="CF73AD733932441072"/>
    <m/>
    <s v="Factura Consumidor Final"/>
    <x v="1"/>
    <x v="0"/>
    <x v="0"/>
    <n v="5297"/>
    <s v="125112272201N2"/>
    <s v=""/>
    <s v="ELDER ALEXANDER ANDRES"/>
    <m/>
    <m/>
    <m/>
  </r>
  <r>
    <s v="LA CURACAO"/>
    <x v="0"/>
    <x v="0"/>
    <n v="1"/>
    <x v="0"/>
    <n v="263"/>
    <s v="12511001026320220729"/>
    <m/>
    <m/>
    <s v="CAB081642191016553"/>
    <m/>
    <s v="Factura Consumidor Final"/>
    <x v="1"/>
    <x v="1"/>
    <x v="0"/>
    <n v="187"/>
    <s v="125112272201NB"/>
    <s v=""/>
    <s v="MAYRA   BENAVENTE  "/>
    <s v="BANCO INDUSTRIAL, S.A.|000-063"/>
    <m/>
    <s v="Car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4ED2B2-8E9C-4BEE-B243-9FEBBE7AA94F}" name="Tbl Dinamica Tarjetas" cacheId="23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5"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numFmtId="17"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5"/>
    <field x="8"/>
  </rowFields>
  <rowItems count="4">
    <i>
      <x/>
    </i>
    <i r="1">
      <x/>
    </i>
    <i r="2">
      <x/>
    </i>
    <i t="grand">
      <x/>
    </i>
  </rowItems>
  <colFields count="1">
    <field x="17"/>
  </colFields>
  <colItems count="2">
    <i>
      <x/>
    </i>
    <i t="grand">
      <x/>
    </i>
  </colItems>
  <dataFields count="1">
    <dataField name="Suma de MONTO" fld="11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D7AF6-54B4-425F-B3F8-62A7287B0269}" name="Tbl Dinamica Depositos" cacheId="24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E8" firstHeaderRow="1" firstDataRow="2" firstDataCol="1"/>
  <pivotFields count="27">
    <pivotField axis="axisCol" showAll="0">
      <items count="4">
        <item x="2"/>
        <item x="1"/>
        <item x="0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A74031-DDBE-487B-91D9-D7FD32B4B6AE}" name="Tbl Dinamica Transaccional" cacheId="25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H12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8">
    <i>
      <x/>
      <x/>
      <x/>
      <x/>
      <x/>
    </i>
    <i t="default" r="3">
      <x/>
    </i>
    <i r="3">
      <x v="1"/>
      <x/>
    </i>
    <i t="default" r="3">
      <x v="1"/>
    </i>
    <i t="default" r="2">
      <x/>
    </i>
    <i t="default" r="1">
      <x/>
    </i>
    <i t="default">
      <x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74EDD6-7CA3-4BB3-82C8-C942A096FD73}" name="Tabla4" displayName="Tabla4" ref="A1:R9" totalsRowShown="0">
  <autoFilter ref="A1:R9" xr:uid="{4474EDD6-7CA3-4BB3-82C8-C942A096FD73}"/>
  <tableColumns count="18">
    <tableColumn id="1" xr3:uid="{951EB380-4F7D-4884-98A7-41313F6887BE}" name="TIENDA"/>
    <tableColumn id="2" xr3:uid="{203A8151-69B6-44BA-8C55-42C12B109450}" name="CDA"/>
    <tableColumn id="3" xr3:uid="{DBB6FCA0-980D-4FE2-9316-B732E431B4A9}" name="FECHA TRANSACCION"/>
    <tableColumn id="4" xr3:uid="{5C4B0DCB-9245-4614-BD02-60B7E7DCB4E9}" name="TRANSACCIONES CAJA"/>
    <tableColumn id="5" xr3:uid="{A4AADD2A-0F08-41FC-A991-671846C1216D}" name="CODIGO DE RAZON"/>
    <tableColumn id="6" xr3:uid="{3B759375-9F99-4AD2-8ABA-1CB428F1C2B8}" name="Efectivo"/>
    <tableColumn id="7" xr3:uid="{C1C3AD66-4E78-4C79-A7EA-173961F40973}" name="Tarjeta de Credito"/>
    <tableColumn id="8" xr3:uid="{EC607573-7E97-4479-8D16-F9DD4AE7B7BF}" name="Total general"/>
    <tableColumn id="9" xr3:uid="{E5F41481-9B5C-450E-930F-42263341BAAB}" name="CIA"/>
    <tableColumn id="10" xr3:uid="{9FE8C9D7-67F9-4131-9B19-E76F34A738F4}" name="INHOUSE DEP-TC"/>
    <tableColumn id="11" xr3:uid="{1F30DA17-EAC8-4BBD-9D26-A88CC9C19B2F}" name="INGRESOS CORTE DE CAJA"/>
    <tableColumn id="12" xr3:uid="{1BAA5CFD-1F1E-4519-830D-DED6CEB831A1}" name="CIERRE P.O.S."/>
    <tableColumn id="13" xr3:uid="{7C43F95F-E152-454D-93C1-77DCF94BE39B}" name="VENTAS TC INTERNET"/>
    <tableColumn id="14" xr3:uid="{E14EAB61-7403-4C05-AD6B-F37941E7FA9F}" name="VISALINK"/>
    <tableColumn id="15" xr3:uid="{854F8DD0-12A3-4AF6-90CD-6C0160F7C592}" name="TRASLADOS"/>
    <tableColumn id="16" xr3:uid="{0824BA10-3AD8-43C3-8063-CE71C4C87E3F}" name="DIFERENCIA"/>
    <tableColumn id="17" xr3:uid="{79D8C0E0-9C21-4FAF-BCA9-3414CF0EBD87}" name="OBSERVACIÓN"/>
    <tableColumn id="18" xr3:uid="{254291D6-C8CD-4F16-8862-2954E7A77C0F}" name="Columna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C4192D-1656-4EB8-996E-1DBEC938BA52}" name="Tabla1" displayName="Tabla1" ref="A1:Y30" totalsRowShown="0" headerRowDxfId="11" headerRowBorderDxfId="10" tableBorderDxfId="9">
  <autoFilter ref="A1:Y30" xr:uid="{31C4192D-1656-4EB8-996E-1DBEC938BA52}"/>
  <tableColumns count="25">
    <tableColumn id="1" xr3:uid="{D41AB696-D261-4274-B73B-388854EE2A4A}" name="NÚMERO TRANSACCION"/>
    <tableColumn id="2" xr3:uid="{51CECB97-92D3-411F-9F69-6EDFDA155990}" name="DESC CUENTA"/>
    <tableColumn id="3" xr3:uid="{47CFF88E-8086-4D2C-97D5-DD76A1214FA0}" name="CENTRO ANALISIS"/>
    <tableColumn id="4" xr3:uid="{72A65FCA-8599-4C5F-A7CB-6DD1454F7A50}" name="RI"/>
    <tableColumn id="5" xr3:uid="{A43CA264-C2F9-4A85-A493-2E9AB7AAAAA9}" name="NO CAJA"/>
    <tableColumn id="6" xr3:uid="{2D902152-31BE-4ECB-9801-AF5EF4C6F07F}" name="DESC ALMACEN"/>
    <tableColumn id="7" xr3:uid="{2C6C9CCE-96A8-491C-ACA6-3AC3921EE3E7}" name="REFERENCIA"/>
    <tableColumn id="8" xr3:uid="{635A8EDE-F1C1-4B11-B190-9A0310C01281}" name="PERIODO CONTABLE" dataDxfId="8"/>
    <tableColumn id="9" xr3:uid="{0BD5A7DA-1511-4E6C-96EF-3A9B32270A40}" name="FECHA AUTORIZACIÓN"/>
    <tableColumn id="10" xr3:uid="{85623EEE-FAF0-4B58-8D8A-759D427BF2D0}" name="TIPO PROMOCIÓN"/>
    <tableColumn id="11" xr3:uid="{24E2FE78-4B1F-4F20-BB8D-ACD9785F7173}" name="MONEDA"/>
    <tableColumn id="12" xr3:uid="{C90C05E2-3E2E-4886-A169-E22D697067ED}" name="MONTO"/>
    <tableColumn id="13" xr3:uid="{466C9B30-996A-4098-9FDB-A6FCBC3AAA59}" name="NUMERO CONFIRMADO"/>
    <tableColumn id="14" xr3:uid="{141108B5-D240-4552-BD86-0466CA2FA75E}" name="Monto Confirmado"/>
    <tableColumn id="15" xr3:uid="{7D5DB562-6790-41B3-B843-C27FB09305F4}" name="Diferencia"/>
    <tableColumn id="16" xr3:uid="{B064F07B-CC26-44AA-813B-614FBFCA137F}" name="TASA DE CAMBIO"/>
    <tableColumn id="17" xr3:uid="{D2C57E6A-5A42-478E-A944-42759B6B8D56}" name="MONTO MNL"/>
    <tableColumn id="18" xr3:uid="{F0C76A9C-5B83-47E1-B4F1-F45AA83010E0}" name="ESTADO"/>
    <tableColumn id="19" xr3:uid="{E9AB3916-D5B7-4F7C-AFFE-7E6690C52EB2}" name="FECHA BANCO"/>
    <tableColumn id="20" xr3:uid="{C32E6146-DEE9-43FF-8622-EB9E2BAE2D4F}" name="NÚMERO DE DEPOSITO"/>
    <tableColumn id="21" xr3:uid="{06D5C55B-E6A7-49D7-AC82-594620AF5AC7}" name="NÚMERO CCF"/>
    <tableColumn id="22" xr3:uid="{30DF0CA9-833A-459C-9B68-944BBC1ADECA}" name="FECHA CONFIRMACION"/>
    <tableColumn id="23" xr3:uid="{976A406F-2DA9-4D96-B691-7C805E431725}" name="FECHA CONTABLE"/>
    <tableColumn id="24" xr3:uid="{5055DFE6-1488-45ED-B5A9-9EB6F2FB19AF}" name="EMPLEADO"/>
    <tableColumn id="25" xr3:uid="{15B47027-C73C-40EF-B8BF-240A8385770C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D64E39-D42F-460F-AA84-5E2C82BC0B0C}" name="Tabla2" displayName="Tabla2" ref="A1:AA7" totalsRowShown="0" headerRowDxfId="7" headerRowBorderDxfId="6" tableBorderDxfId="5">
  <autoFilter ref="A1:AA7" xr:uid="{2DD64E39-D42F-460F-AA84-5E2C82BC0B0C}"/>
  <tableColumns count="27">
    <tableColumn id="1" xr3:uid="{22CF96DD-08CD-4142-AEF8-604D15EAA61B}" name="Compañia"/>
    <tableColumn id="2" xr3:uid="{26F2DE2A-4561-473E-A7E2-E7453CF8D255}" name="Período" dataDxfId="4"/>
    <tableColumn id="3" xr3:uid="{D7C1E099-59AA-4D5C-8318-E1607C36F6FD}" name="Tipo"/>
    <tableColumn id="4" xr3:uid="{3A0D1466-BD54-4F26-ADBA-B7FAAA9B08FD}" name="Número Transacción"/>
    <tableColumn id="5" xr3:uid="{2C0B10A7-DE79-4AB8-8695-58E459E8AE5C}" name="Centro Analisis"/>
    <tableColumn id="6" xr3:uid="{7EF0285C-26EB-496F-8749-6BE5133D82D9}" name="Tienda"/>
    <tableColumn id="7" xr3:uid="{960B4044-F513-4674-9312-3EF09FB18F3E}" name="Desc Almacen"/>
    <tableColumn id="8" xr3:uid="{EFB3ACA8-A9EE-4673-A1A8-376AED7DF7A8}" name="Caja"/>
    <tableColumn id="9" xr3:uid="{731F7EB0-9151-4553-B057-BE30EBABC363}" name="Estado"/>
    <tableColumn id="10" xr3:uid="{7F1404A8-FA98-49B6-BB80-1C0C52C91512}" name="Fecha deposito"/>
    <tableColumn id="11" xr3:uid="{9CF4E621-3DF2-4F8B-B540-8E339A1E98A2}" name="Numero Deposito"/>
    <tableColumn id="12" xr3:uid="{B262E0EC-F91A-4EB9-8A6C-C65D06EEDC1C}" name="Numero Cuenta"/>
    <tableColumn id="13" xr3:uid="{0C4611A7-925F-46AF-932C-D7AF71FD8E98}" name="Desc Cuenta"/>
    <tableColumn id="14" xr3:uid="{831C55AC-4E8A-4D84-8B71-6E35CFE787AF}" name="Moneda"/>
    <tableColumn id="15" xr3:uid="{432E787E-66F4-4755-A332-683EAA340F24}" name="Monto"/>
    <tableColumn id="16" xr3:uid="{2F36B44F-FD17-4BDD-8E2B-45DF16F96F7F}" name="Fecha Banco"/>
    <tableColumn id="17" xr3:uid="{D012A01E-3305-4EEA-9BF7-87937E0DB0DE}" name="Número Déposito Confirmado"/>
    <tableColumn id="18" xr3:uid="{2CE03C5E-BF9B-436F-92FC-DC5CD13A3862}" name="Número Cuenta Confirmada"/>
    <tableColumn id="19" xr3:uid="{71F01090-62B9-435B-BF17-1446D8EDCBA4}" name="Monto Confirmado"/>
    <tableColumn id="20" xr3:uid="{ABF4DB19-96F1-41DA-8F3A-A2C8B13A7611}" name="Diferencia"/>
    <tableColumn id="21" xr3:uid="{6B9F8614-8C60-4EC7-91CA-33F78F7A3C5C}" name="Tasa de Cambio"/>
    <tableColumn id="22" xr3:uid="{825CD24A-3DA8-4D34-800F-FDED34DA2A4F}" name="Monto MNL"/>
    <tableColumn id="23" xr3:uid="{3922F2BC-68E4-4CD3-B373-825C82502D91}" name="Motivo"/>
    <tableColumn id="24" xr3:uid="{72F1DFB9-19F5-49B2-B202-6AB20720E27F}" name="Fecha confirmacion"/>
    <tableColumn id="25" xr3:uid="{42FC57B9-8FF6-4188-B137-D894F93244C5}" name="Fecha Contabilización"/>
    <tableColumn id="26" xr3:uid="{6B9E074D-D94B-4556-BFDF-E86052CC60D9}" name="Empleado"/>
    <tableColumn id="27" xr3:uid="{DC8E7BF4-17B9-4FE0-AA5C-1CABDFB6CE80}" name="Actualizado por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C70EE3-96E2-42DF-A0A6-C7842A399881}" name="Tabla3" displayName="Tabla3" ref="A1:V25" totalsRowShown="0" headerRowDxfId="3" headerRowBorderDxfId="2" tableBorderDxfId="1">
  <autoFilter ref="A1:V25" xr:uid="{08C70EE3-96E2-42DF-A0A6-C7842A399881}"/>
  <tableColumns count="22">
    <tableColumn id="1" xr3:uid="{2088EB8C-43A4-45AA-A193-DC644A99B0AB}" name="CADENA"/>
    <tableColumn id="2" xr3:uid="{C58725C9-3418-4F98-8EEB-B768FA2AB625}" name="TIENDA"/>
    <tableColumn id="3" xr3:uid="{B56E1E73-A249-46CF-9CAB-8191DEC43F90}" name="CDA"/>
    <tableColumn id="4" xr3:uid="{78E9C7D7-9C72-486D-8F18-55D169602B6F}" name="CAJA"/>
    <tableColumn id="5" xr3:uid="{71E50BF0-2991-4011-ACAA-14A5627E3A6C}" name="FECHA TRANSACCION" dataDxfId="0"/>
    <tableColumn id="6" xr3:uid="{0D09AB98-15AF-4CD6-9DAE-FADE1C14A391}" name="CORRELATIVO CAJA"/>
    <tableColumn id="7" xr3:uid="{E1BD2FAB-2CFE-442F-B928-BF71E55C7D79}" name="No. TRANSACCION"/>
    <tableColumn id="8" xr3:uid="{B647C2F2-8D00-423C-B7CE-DDA114960232}" name="TRANSACCION ORIGINAL (Devolución)"/>
    <tableColumn id="9" xr3:uid="{3BAE7578-7439-4E93-ADF6-2EFE99212FC5}" name="TRANSACCIÓN CAJA ORIGINAL(Devolución)"/>
    <tableColumn id="10" xr3:uid="{465C119D-181D-4C0C-AC1E-30F58B5074D8}" name="No. DOCUMENTO"/>
    <tableColumn id="11" xr3:uid="{038CB336-BD13-4573-9334-ACE63334A440}" name="NUMERO DE SOLICITUD"/>
    <tableColumn id="12" xr3:uid="{AFF8CCDE-1314-4DCC-AB67-E3A3CFE73427}" name="TIPO DOCUMENTO"/>
    <tableColumn id="13" xr3:uid="{6AEB2583-3C3C-491D-8473-A4BBB76279B8}" name="TRANSACCIONES CAJA"/>
    <tableColumn id="14" xr3:uid="{2A32DB70-2CAD-4BFF-9933-FCFACD0903BA}" name="FORMA DE PAGO"/>
    <tableColumn id="15" xr3:uid="{AC4E1885-18D0-4EFC-8964-620049F675A4}" name="CODIGO DE RAZON"/>
    <tableColumn id="16" xr3:uid="{B8AB8341-C215-4E12-9670-8DFB6453C82F}" name="MONTO"/>
    <tableColumn id="17" xr3:uid="{113F67CB-1382-4162-9A7A-BD0C0A2138AF}" name="NUM_COTIZACON"/>
    <tableColumn id="18" xr3:uid="{6E310533-122E-48D7-BE77-1C0C3E5DFB40}" name="NUM_CUENTA"/>
    <tableColumn id="19" xr3:uid="{11C68193-575D-421C-8C11-D7D49205DC0F}" name="NOMBRE_CLIENTE"/>
    <tableColumn id="20" xr3:uid="{98E6015B-1A43-4B1E-B7BE-715F44D582B4}" name="BANCO"/>
    <tableColumn id="21" xr3:uid="{71DBF9C1-2252-4CB6-93FE-9839FA470351}" name="AUTORIZACION"/>
    <tableColumn id="22" xr3:uid="{BF9C46A1-F645-4413-95B2-565B538514DA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R9"/>
  <sheetViews>
    <sheetView tabSelected="1" workbookViewId="0">
      <selection sqref="A1:R9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7" max="7" width="19" customWidth="1"/>
    <col min="8" max="8" width="14.7109375" customWidth="1"/>
    <col min="10" max="10" width="18" customWidth="1"/>
    <col min="11" max="11" width="25.85546875" customWidth="1"/>
    <col min="12" max="12" width="14.85546875" customWidth="1"/>
    <col min="13" max="13" width="21.7109375" customWidth="1"/>
    <col min="15" max="15" width="13.42578125" customWidth="1"/>
    <col min="16" max="16" width="13.5703125" customWidth="1"/>
    <col min="17" max="17" width="16" customWidth="1"/>
    <col min="18" max="18" width="12" customWidth="1"/>
  </cols>
  <sheetData>
    <row r="1" spans="1:18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109</v>
      </c>
      <c r="G1" t="s">
        <v>115</v>
      </c>
      <c r="H1" t="s">
        <v>86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220</v>
      </c>
    </row>
    <row r="2" spans="1:18" x14ac:dyDescent="0.25">
      <c r="A2" t="s">
        <v>104</v>
      </c>
      <c r="B2">
        <v>50201</v>
      </c>
      <c r="C2" s="9">
        <v>44771</v>
      </c>
      <c r="D2" t="s">
        <v>114</v>
      </c>
      <c r="E2" t="s">
        <v>203</v>
      </c>
      <c r="F2">
        <v>16869.150000000001</v>
      </c>
      <c r="G2">
        <v>36835</v>
      </c>
      <c r="H2">
        <v>53704.15</v>
      </c>
      <c r="I2" t="s">
        <v>89</v>
      </c>
    </row>
    <row r="3" spans="1:18" x14ac:dyDescent="0.25">
      <c r="A3" t="s">
        <v>104</v>
      </c>
      <c r="B3">
        <v>50201</v>
      </c>
      <c r="C3" s="9">
        <v>44771</v>
      </c>
      <c r="D3" t="s">
        <v>204</v>
      </c>
      <c r="F3">
        <v>16869.150000000001</v>
      </c>
      <c r="G3">
        <v>36835</v>
      </c>
      <c r="H3">
        <v>53704.15</v>
      </c>
      <c r="I3" t="s">
        <v>218</v>
      </c>
    </row>
    <row r="4" spans="1:18" x14ac:dyDescent="0.25">
      <c r="A4" t="s">
        <v>104</v>
      </c>
      <c r="B4">
        <v>50201</v>
      </c>
      <c r="C4" s="9">
        <v>44771</v>
      </c>
      <c r="D4" t="s">
        <v>108</v>
      </c>
      <c r="E4" t="s">
        <v>203</v>
      </c>
      <c r="F4">
        <v>680</v>
      </c>
      <c r="H4">
        <v>680</v>
      </c>
      <c r="I4" t="s">
        <v>219</v>
      </c>
    </row>
    <row r="5" spans="1:18" x14ac:dyDescent="0.25">
      <c r="A5" t="s">
        <v>104</v>
      </c>
      <c r="B5">
        <v>50201</v>
      </c>
      <c r="C5" s="9">
        <v>44771</v>
      </c>
      <c r="D5" t="s">
        <v>205</v>
      </c>
      <c r="F5">
        <v>680</v>
      </c>
      <c r="H5">
        <v>680</v>
      </c>
    </row>
    <row r="6" spans="1:18" x14ac:dyDescent="0.25">
      <c r="A6" t="s">
        <v>104</v>
      </c>
      <c r="B6">
        <v>50201</v>
      </c>
      <c r="C6" t="s">
        <v>206</v>
      </c>
      <c r="F6">
        <v>17549.150000000001</v>
      </c>
      <c r="G6">
        <v>36835</v>
      </c>
      <c r="H6">
        <v>54384.15</v>
      </c>
      <c r="I6" t="s">
        <v>96</v>
      </c>
    </row>
    <row r="7" spans="1:18" x14ac:dyDescent="0.25">
      <c r="A7" t="s">
        <v>104</v>
      </c>
      <c r="B7" t="s">
        <v>207</v>
      </c>
      <c r="F7">
        <v>17549.150000000001</v>
      </c>
      <c r="G7">
        <v>36835</v>
      </c>
      <c r="H7">
        <v>54384.15</v>
      </c>
      <c r="I7" t="s">
        <v>89</v>
      </c>
    </row>
    <row r="8" spans="1:18" x14ac:dyDescent="0.25">
      <c r="A8" t="s">
        <v>208</v>
      </c>
      <c r="F8">
        <v>17549.150000000001</v>
      </c>
      <c r="G8">
        <v>36835</v>
      </c>
      <c r="H8">
        <v>54384.15</v>
      </c>
      <c r="I8" t="s">
        <v>218</v>
      </c>
    </row>
    <row r="9" spans="1:18" x14ac:dyDescent="0.25">
      <c r="A9" t="s">
        <v>86</v>
      </c>
      <c r="F9">
        <v>17549.150000000001</v>
      </c>
      <c r="G9">
        <v>36835</v>
      </c>
      <c r="H9">
        <v>54384.15</v>
      </c>
      <c r="I9" t="s">
        <v>219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9F80-ACC8-4AA1-9146-F461F1048AEB}">
  <dimension ref="A3:C8"/>
  <sheetViews>
    <sheetView workbookViewId="0"/>
  </sheetViews>
  <sheetFormatPr baseColWidth="10" defaultRowHeight="15" x14ac:dyDescent="0.25"/>
  <cols>
    <col min="1" max="1" width="37.28515625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88</v>
      </c>
      <c r="B3" s="3" t="s">
        <v>85</v>
      </c>
    </row>
    <row r="4" spans="1:3" x14ac:dyDescent="0.25">
      <c r="A4" s="3" t="s">
        <v>87</v>
      </c>
      <c r="B4" t="s">
        <v>76</v>
      </c>
      <c r="C4" t="s">
        <v>86</v>
      </c>
    </row>
    <row r="5" spans="1:3" x14ac:dyDescent="0.25">
      <c r="A5" s="4">
        <v>50201</v>
      </c>
      <c r="B5" s="7">
        <v>45581</v>
      </c>
      <c r="C5" s="7">
        <v>45581</v>
      </c>
    </row>
    <row r="6" spans="1:3" x14ac:dyDescent="0.25">
      <c r="A6" s="5" t="s">
        <v>72</v>
      </c>
      <c r="B6" s="7">
        <v>45581</v>
      </c>
      <c r="C6" s="7">
        <v>45581</v>
      </c>
    </row>
    <row r="7" spans="1:3" x14ac:dyDescent="0.25">
      <c r="A7" s="6" t="s">
        <v>73</v>
      </c>
      <c r="B7" s="7">
        <v>45581</v>
      </c>
      <c r="C7" s="7">
        <v>45581</v>
      </c>
    </row>
    <row r="8" spans="1:3" x14ac:dyDescent="0.25">
      <c r="A8" s="4" t="s">
        <v>86</v>
      </c>
      <c r="B8" s="7">
        <v>45581</v>
      </c>
      <c r="C8" s="7">
        <v>45581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30"/>
  <sheetViews>
    <sheetView workbookViewId="0">
      <selection sqref="A1:Y30"/>
    </sheetView>
  </sheetViews>
  <sheetFormatPr baseColWidth="10" defaultColWidth="9.140625" defaultRowHeight="15" x14ac:dyDescent="0.25"/>
  <cols>
    <col min="1" max="1" width="23.42578125" customWidth="1"/>
    <col min="2" max="2" width="15.5703125" customWidth="1"/>
    <col min="3" max="3" width="18.5703125" customWidth="1"/>
    <col min="4" max="4" width="12" customWidth="1"/>
    <col min="5" max="5" width="11" customWidth="1"/>
    <col min="6" max="6" width="17.140625" customWidth="1"/>
    <col min="7" max="7" width="13.42578125" customWidth="1"/>
    <col min="8" max="8" width="20.5703125" customWidth="1"/>
    <col min="9" max="9" width="22.7109375" customWidth="1"/>
    <col min="10" max="10" width="18.42578125" customWidth="1"/>
    <col min="11" max="11" width="10.85546875" customWidth="1"/>
    <col min="12" max="12" width="9.7109375" customWidth="1"/>
    <col min="13" max="13" width="23" customWidth="1"/>
    <col min="14" max="14" width="18.5703125" customWidth="1"/>
    <col min="15" max="15" width="11.85546875" customWidth="1"/>
    <col min="16" max="16" width="18" customWidth="1"/>
    <col min="17" max="17" width="14.5703125" customWidth="1"/>
    <col min="18" max="18" width="10" customWidth="1"/>
    <col min="19" max="19" width="15.7109375" customWidth="1"/>
    <col min="20" max="20" width="22.5703125" customWidth="1"/>
    <col min="21" max="21" width="15.5703125" customWidth="1"/>
    <col min="22" max="22" width="23" customWidth="1"/>
    <col min="23" max="23" width="18.5703125" customWidth="1"/>
    <col min="24" max="24" width="18.28515625" customWidth="1"/>
    <col min="25" max="25" width="19.5703125" customWidth="1"/>
  </cols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  <row r="2" spans="1:25" x14ac:dyDescent="0.25">
      <c r="A2">
        <v>1.2511003167520201E+19</v>
      </c>
      <c r="B2" t="s">
        <v>71</v>
      </c>
      <c r="C2">
        <v>50201</v>
      </c>
      <c r="D2">
        <v>511</v>
      </c>
      <c r="E2">
        <v>3</v>
      </c>
      <c r="F2" t="s">
        <v>72</v>
      </c>
      <c r="G2">
        <v>17437</v>
      </c>
      <c r="H2" s="1">
        <v>44743</v>
      </c>
      <c r="I2" t="s">
        <v>73</v>
      </c>
      <c r="J2" t="s">
        <v>74</v>
      </c>
      <c r="K2" t="s">
        <v>75</v>
      </c>
      <c r="L2">
        <v>398</v>
      </c>
      <c r="P2">
        <v>1</v>
      </c>
      <c r="Q2">
        <v>398</v>
      </c>
      <c r="R2" t="s">
        <v>76</v>
      </c>
      <c r="X2" t="s">
        <v>77</v>
      </c>
      <c r="Y2" t="s">
        <v>78</v>
      </c>
    </row>
    <row r="3" spans="1:25" x14ac:dyDescent="0.25">
      <c r="A3">
        <v>1.25110031678202E+19</v>
      </c>
      <c r="B3" t="s">
        <v>79</v>
      </c>
      <c r="C3">
        <v>50201</v>
      </c>
      <c r="D3">
        <v>511</v>
      </c>
      <c r="E3">
        <v>3</v>
      </c>
      <c r="F3" t="s">
        <v>72</v>
      </c>
      <c r="G3">
        <v>175047</v>
      </c>
      <c r="H3" s="1">
        <v>44743</v>
      </c>
      <c r="I3" t="s">
        <v>73</v>
      </c>
      <c r="J3" t="s">
        <v>74</v>
      </c>
      <c r="K3" t="s">
        <v>75</v>
      </c>
      <c r="L3">
        <v>1992</v>
      </c>
      <c r="P3">
        <v>1</v>
      </c>
      <c r="Q3">
        <v>1992</v>
      </c>
      <c r="R3" t="s">
        <v>76</v>
      </c>
      <c r="X3" t="s">
        <v>77</v>
      </c>
      <c r="Y3" t="s">
        <v>78</v>
      </c>
    </row>
    <row r="4" spans="1:25" x14ac:dyDescent="0.25">
      <c r="A4">
        <v>1.2511001024820199E+19</v>
      </c>
      <c r="B4" t="s">
        <v>79</v>
      </c>
      <c r="C4">
        <v>50201</v>
      </c>
      <c r="D4">
        <v>511</v>
      </c>
      <c r="E4">
        <v>1</v>
      </c>
      <c r="F4" t="s">
        <v>72</v>
      </c>
      <c r="G4">
        <v>576270</v>
      </c>
      <c r="H4" s="1">
        <v>44743</v>
      </c>
      <c r="I4" t="s">
        <v>73</v>
      </c>
      <c r="J4" t="s">
        <v>74</v>
      </c>
      <c r="K4" t="s">
        <v>75</v>
      </c>
      <c r="L4">
        <v>2003</v>
      </c>
      <c r="P4">
        <v>1</v>
      </c>
      <c r="Q4">
        <v>2003</v>
      </c>
      <c r="R4" t="s">
        <v>76</v>
      </c>
      <c r="X4" t="s">
        <v>80</v>
      </c>
      <c r="Y4" t="s">
        <v>78</v>
      </c>
    </row>
    <row r="5" spans="1:25" x14ac:dyDescent="0.25">
      <c r="A5">
        <v>1.25110023413202E+19</v>
      </c>
      <c r="B5" t="s">
        <v>71</v>
      </c>
      <c r="C5">
        <v>50201</v>
      </c>
      <c r="D5">
        <v>511</v>
      </c>
      <c r="E5">
        <v>2</v>
      </c>
      <c r="F5" t="s">
        <v>72</v>
      </c>
      <c r="G5">
        <v>176619</v>
      </c>
      <c r="H5" s="1">
        <v>44743</v>
      </c>
      <c r="I5" t="s">
        <v>73</v>
      </c>
      <c r="J5" t="s">
        <v>81</v>
      </c>
      <c r="K5" t="s">
        <v>75</v>
      </c>
      <c r="L5">
        <v>656</v>
      </c>
      <c r="P5">
        <v>1</v>
      </c>
      <c r="Q5">
        <v>656</v>
      </c>
      <c r="R5" t="s">
        <v>76</v>
      </c>
      <c r="X5" t="s">
        <v>82</v>
      </c>
      <c r="Y5" t="s">
        <v>78</v>
      </c>
    </row>
    <row r="6" spans="1:25" x14ac:dyDescent="0.25">
      <c r="A6">
        <v>1.25110010271202E+19</v>
      </c>
      <c r="B6" t="s">
        <v>79</v>
      </c>
      <c r="C6">
        <v>50201</v>
      </c>
      <c r="D6">
        <v>511</v>
      </c>
      <c r="E6">
        <v>1</v>
      </c>
      <c r="F6" t="s">
        <v>72</v>
      </c>
      <c r="G6">
        <v>203630</v>
      </c>
      <c r="H6" s="1">
        <v>44743</v>
      </c>
      <c r="I6" t="s">
        <v>73</v>
      </c>
      <c r="J6" t="s">
        <v>83</v>
      </c>
      <c r="K6" t="s">
        <v>75</v>
      </c>
      <c r="L6">
        <v>5999</v>
      </c>
      <c r="P6">
        <v>1</v>
      </c>
      <c r="Q6">
        <v>5999</v>
      </c>
      <c r="R6" t="s">
        <v>76</v>
      </c>
      <c r="X6" t="s">
        <v>80</v>
      </c>
      <c r="Y6" t="s">
        <v>78</v>
      </c>
    </row>
    <row r="7" spans="1:25" x14ac:dyDescent="0.25">
      <c r="A7">
        <v>1.2511002342620201E+19</v>
      </c>
      <c r="B7" t="s">
        <v>79</v>
      </c>
      <c r="C7">
        <v>50201</v>
      </c>
      <c r="D7">
        <v>511</v>
      </c>
      <c r="E7">
        <v>2</v>
      </c>
      <c r="F7" t="s">
        <v>72</v>
      </c>
      <c r="G7">
        <v>4748431</v>
      </c>
      <c r="H7" s="1">
        <v>44743</v>
      </c>
      <c r="I7" t="s">
        <v>73</v>
      </c>
      <c r="J7" t="s">
        <v>74</v>
      </c>
      <c r="K7" t="s">
        <v>75</v>
      </c>
      <c r="L7">
        <v>310</v>
      </c>
      <c r="P7">
        <v>1</v>
      </c>
      <c r="Q7">
        <v>310</v>
      </c>
      <c r="R7" t="s">
        <v>76</v>
      </c>
      <c r="X7" t="s">
        <v>82</v>
      </c>
      <c r="Y7" t="s">
        <v>78</v>
      </c>
    </row>
    <row r="8" spans="1:25" x14ac:dyDescent="0.25">
      <c r="A8">
        <v>1.25110010247202E+19</v>
      </c>
      <c r="B8" t="s">
        <v>79</v>
      </c>
      <c r="C8">
        <v>50201</v>
      </c>
      <c r="D8">
        <v>511</v>
      </c>
      <c r="E8">
        <v>1</v>
      </c>
      <c r="F8" t="s">
        <v>72</v>
      </c>
      <c r="G8">
        <v>211399</v>
      </c>
      <c r="H8" s="1">
        <v>44743</v>
      </c>
      <c r="I8" t="s">
        <v>73</v>
      </c>
      <c r="J8" t="s">
        <v>74</v>
      </c>
      <c r="K8" t="s">
        <v>75</v>
      </c>
      <c r="L8">
        <v>520</v>
      </c>
      <c r="P8">
        <v>1</v>
      </c>
      <c r="Q8">
        <v>520</v>
      </c>
      <c r="R8" t="s">
        <v>76</v>
      </c>
      <c r="X8" t="s">
        <v>80</v>
      </c>
      <c r="Y8" t="s">
        <v>78</v>
      </c>
    </row>
    <row r="9" spans="1:25" x14ac:dyDescent="0.25">
      <c r="A9">
        <v>1.2511003167220199E+19</v>
      </c>
      <c r="B9" t="s">
        <v>79</v>
      </c>
      <c r="C9">
        <v>50201</v>
      </c>
      <c r="D9">
        <v>511</v>
      </c>
      <c r="E9">
        <v>3</v>
      </c>
      <c r="F9" t="s">
        <v>72</v>
      </c>
      <c r="G9">
        <v>710704</v>
      </c>
      <c r="H9" s="1">
        <v>44743</v>
      </c>
      <c r="I9" t="s">
        <v>73</v>
      </c>
      <c r="J9" t="s">
        <v>74</v>
      </c>
      <c r="K9" t="s">
        <v>75</v>
      </c>
      <c r="L9">
        <v>657</v>
      </c>
      <c r="P9">
        <v>1</v>
      </c>
      <c r="Q9">
        <v>657</v>
      </c>
      <c r="R9" t="s">
        <v>76</v>
      </c>
      <c r="X9" t="s">
        <v>77</v>
      </c>
      <c r="Y9" t="s">
        <v>78</v>
      </c>
    </row>
    <row r="10" spans="1:25" x14ac:dyDescent="0.25">
      <c r="A10">
        <v>1.25110010263202E+19</v>
      </c>
      <c r="B10" t="s">
        <v>79</v>
      </c>
      <c r="C10">
        <v>50201</v>
      </c>
      <c r="D10">
        <v>511</v>
      </c>
      <c r="E10">
        <v>1</v>
      </c>
      <c r="F10" t="s">
        <v>72</v>
      </c>
      <c r="G10">
        <v>249696</v>
      </c>
      <c r="H10" s="1">
        <v>44743</v>
      </c>
      <c r="I10" t="s">
        <v>73</v>
      </c>
      <c r="J10" t="s">
        <v>74</v>
      </c>
      <c r="K10" t="s">
        <v>75</v>
      </c>
      <c r="L10">
        <v>187</v>
      </c>
      <c r="P10">
        <v>1</v>
      </c>
      <c r="Q10">
        <v>187</v>
      </c>
      <c r="R10" t="s">
        <v>76</v>
      </c>
      <c r="X10" t="s">
        <v>80</v>
      </c>
      <c r="Y10" t="s">
        <v>78</v>
      </c>
    </row>
    <row r="11" spans="1:25" x14ac:dyDescent="0.25">
      <c r="A11">
        <v>1.25110031671202E+19</v>
      </c>
      <c r="B11" t="s">
        <v>79</v>
      </c>
      <c r="C11">
        <v>50201</v>
      </c>
      <c r="D11">
        <v>511</v>
      </c>
      <c r="E11">
        <v>3</v>
      </c>
      <c r="F11" t="s">
        <v>72</v>
      </c>
      <c r="G11">
        <v>710704</v>
      </c>
      <c r="H11" s="1">
        <v>44743</v>
      </c>
      <c r="I11" t="s">
        <v>73</v>
      </c>
      <c r="J11" t="s">
        <v>74</v>
      </c>
      <c r="K11" t="s">
        <v>75</v>
      </c>
      <c r="L11">
        <v>291</v>
      </c>
      <c r="P11">
        <v>1</v>
      </c>
      <c r="Q11">
        <v>291</v>
      </c>
      <c r="R11" t="s">
        <v>76</v>
      </c>
      <c r="X11" t="s">
        <v>77</v>
      </c>
      <c r="Y11" t="s">
        <v>78</v>
      </c>
    </row>
    <row r="12" spans="1:25" x14ac:dyDescent="0.25">
      <c r="A12">
        <v>1.2511003168820199E+19</v>
      </c>
      <c r="B12" t="s">
        <v>79</v>
      </c>
      <c r="C12">
        <v>50201</v>
      </c>
      <c r="D12">
        <v>511</v>
      </c>
      <c r="E12">
        <v>3</v>
      </c>
      <c r="F12" t="s">
        <v>72</v>
      </c>
      <c r="G12">
        <v>171595</v>
      </c>
      <c r="H12" s="1">
        <v>44743</v>
      </c>
      <c r="I12" t="s">
        <v>73</v>
      </c>
      <c r="J12" t="s">
        <v>83</v>
      </c>
      <c r="K12" t="s">
        <v>75</v>
      </c>
      <c r="L12">
        <v>2299</v>
      </c>
      <c r="P12">
        <v>1</v>
      </c>
      <c r="Q12">
        <v>2299</v>
      </c>
      <c r="R12" t="s">
        <v>76</v>
      </c>
      <c r="X12" t="s">
        <v>77</v>
      </c>
      <c r="Y12" t="s">
        <v>78</v>
      </c>
    </row>
    <row r="13" spans="1:25" x14ac:dyDescent="0.25">
      <c r="A13">
        <v>1.25110010269202E+19</v>
      </c>
      <c r="B13" t="s">
        <v>79</v>
      </c>
      <c r="C13">
        <v>50201</v>
      </c>
      <c r="D13">
        <v>511</v>
      </c>
      <c r="E13">
        <v>1</v>
      </c>
      <c r="F13" t="s">
        <v>72</v>
      </c>
      <c r="G13">
        <v>234359</v>
      </c>
      <c r="H13" s="1">
        <v>44743</v>
      </c>
      <c r="I13" t="s">
        <v>73</v>
      </c>
      <c r="J13" t="s">
        <v>74</v>
      </c>
      <c r="K13" t="s">
        <v>75</v>
      </c>
      <c r="L13">
        <v>180</v>
      </c>
      <c r="P13">
        <v>1</v>
      </c>
      <c r="Q13">
        <v>180</v>
      </c>
      <c r="R13" t="s">
        <v>76</v>
      </c>
      <c r="X13" t="s">
        <v>80</v>
      </c>
      <c r="Y13" t="s">
        <v>78</v>
      </c>
    </row>
    <row r="14" spans="1:25" x14ac:dyDescent="0.25">
      <c r="A14">
        <v>1.2511001024320201E+19</v>
      </c>
      <c r="B14" t="s">
        <v>79</v>
      </c>
      <c r="C14">
        <v>50201</v>
      </c>
      <c r="D14">
        <v>511</v>
      </c>
      <c r="E14">
        <v>1</v>
      </c>
      <c r="F14" t="s">
        <v>72</v>
      </c>
      <c r="G14">
        <v>856755</v>
      </c>
      <c r="H14" s="1">
        <v>44743</v>
      </c>
      <c r="I14" t="s">
        <v>73</v>
      </c>
      <c r="J14" t="s">
        <v>83</v>
      </c>
      <c r="K14" t="s">
        <v>75</v>
      </c>
      <c r="L14">
        <v>8145</v>
      </c>
      <c r="P14">
        <v>1</v>
      </c>
      <c r="Q14">
        <v>8145</v>
      </c>
      <c r="R14" t="s">
        <v>76</v>
      </c>
      <c r="X14" t="s">
        <v>80</v>
      </c>
      <c r="Y14" t="s">
        <v>78</v>
      </c>
    </row>
    <row r="15" spans="1:25" x14ac:dyDescent="0.25">
      <c r="A15">
        <v>1.25110031678202E+19</v>
      </c>
      <c r="B15" t="s">
        <v>79</v>
      </c>
      <c r="C15">
        <v>50201</v>
      </c>
      <c r="D15">
        <v>511</v>
      </c>
      <c r="E15">
        <v>3</v>
      </c>
      <c r="F15" t="s">
        <v>72</v>
      </c>
      <c r="G15">
        <v>149773</v>
      </c>
      <c r="H15" s="1">
        <v>44743</v>
      </c>
      <c r="I15" t="s">
        <v>73</v>
      </c>
      <c r="J15" t="s">
        <v>74</v>
      </c>
      <c r="K15" t="s">
        <v>75</v>
      </c>
      <c r="L15">
        <v>1993</v>
      </c>
      <c r="P15">
        <v>1</v>
      </c>
      <c r="Q15">
        <v>1993</v>
      </c>
      <c r="R15" t="s">
        <v>76</v>
      </c>
      <c r="X15" t="s">
        <v>77</v>
      </c>
      <c r="Y15" t="s">
        <v>78</v>
      </c>
    </row>
    <row r="16" spans="1:25" x14ac:dyDescent="0.25">
      <c r="A16">
        <v>1.2511003168120199E+19</v>
      </c>
      <c r="B16" t="s">
        <v>79</v>
      </c>
      <c r="C16">
        <v>50201</v>
      </c>
      <c r="D16">
        <v>511</v>
      </c>
      <c r="E16">
        <v>3</v>
      </c>
      <c r="F16" t="s">
        <v>72</v>
      </c>
      <c r="G16">
        <v>170767</v>
      </c>
      <c r="H16" s="1">
        <v>44743</v>
      </c>
      <c r="I16" t="s">
        <v>73</v>
      </c>
      <c r="J16" t="s">
        <v>74</v>
      </c>
      <c r="K16" t="s">
        <v>75</v>
      </c>
      <c r="L16">
        <v>1500</v>
      </c>
      <c r="P16">
        <v>1</v>
      </c>
      <c r="Q16">
        <v>1500</v>
      </c>
      <c r="R16" t="s">
        <v>76</v>
      </c>
      <c r="X16" t="s">
        <v>77</v>
      </c>
      <c r="Y16" t="s">
        <v>78</v>
      </c>
    </row>
    <row r="17" spans="1:25" x14ac:dyDescent="0.25">
      <c r="A17">
        <v>1.25110023412202E+19</v>
      </c>
      <c r="B17" t="s">
        <v>79</v>
      </c>
      <c r="C17">
        <v>50201</v>
      </c>
      <c r="D17">
        <v>511</v>
      </c>
      <c r="E17">
        <v>2</v>
      </c>
      <c r="F17" t="s">
        <v>72</v>
      </c>
      <c r="G17">
        <v>741309</v>
      </c>
      <c r="H17" s="1">
        <v>44743</v>
      </c>
      <c r="I17" t="s">
        <v>73</v>
      </c>
      <c r="J17" t="s">
        <v>74</v>
      </c>
      <c r="K17" t="s">
        <v>75</v>
      </c>
      <c r="L17">
        <v>550</v>
      </c>
      <c r="P17">
        <v>1</v>
      </c>
      <c r="Q17">
        <v>550</v>
      </c>
      <c r="R17" t="s">
        <v>76</v>
      </c>
      <c r="X17" t="s">
        <v>82</v>
      </c>
      <c r="Y17" t="s">
        <v>78</v>
      </c>
    </row>
    <row r="18" spans="1:25" x14ac:dyDescent="0.25">
      <c r="A18">
        <v>1.25110023415202E+19</v>
      </c>
      <c r="B18" t="s">
        <v>79</v>
      </c>
      <c r="C18">
        <v>50201</v>
      </c>
      <c r="D18">
        <v>511</v>
      </c>
      <c r="E18">
        <v>2</v>
      </c>
      <c r="F18" t="s">
        <v>72</v>
      </c>
      <c r="G18">
        <v>177134</v>
      </c>
      <c r="H18" s="1">
        <v>44743</v>
      </c>
      <c r="I18" t="s">
        <v>73</v>
      </c>
      <c r="J18" t="s">
        <v>74</v>
      </c>
      <c r="K18" t="s">
        <v>75</v>
      </c>
      <c r="L18">
        <v>258</v>
      </c>
      <c r="P18">
        <v>1</v>
      </c>
      <c r="Q18">
        <v>258</v>
      </c>
      <c r="R18" t="s">
        <v>76</v>
      </c>
      <c r="X18" t="s">
        <v>82</v>
      </c>
      <c r="Y18" t="s">
        <v>78</v>
      </c>
    </row>
    <row r="19" spans="1:25" x14ac:dyDescent="0.25">
      <c r="A19">
        <v>1.2511001024820199E+19</v>
      </c>
      <c r="B19" t="s">
        <v>79</v>
      </c>
      <c r="C19">
        <v>50201</v>
      </c>
      <c r="D19">
        <v>511</v>
      </c>
      <c r="E19">
        <v>1</v>
      </c>
      <c r="F19" t="s">
        <v>72</v>
      </c>
      <c r="G19">
        <v>135171</v>
      </c>
      <c r="H19" s="1">
        <v>44743</v>
      </c>
      <c r="I19" t="s">
        <v>73</v>
      </c>
      <c r="J19" t="s">
        <v>74</v>
      </c>
      <c r="K19" t="s">
        <v>75</v>
      </c>
      <c r="L19">
        <v>3391</v>
      </c>
      <c r="P19">
        <v>1</v>
      </c>
      <c r="Q19">
        <v>3391</v>
      </c>
      <c r="R19" t="s">
        <v>76</v>
      </c>
      <c r="X19" t="s">
        <v>80</v>
      </c>
      <c r="Y19" t="s">
        <v>78</v>
      </c>
    </row>
    <row r="20" spans="1:25" x14ac:dyDescent="0.25">
      <c r="A20">
        <v>1.25110010270202E+19</v>
      </c>
      <c r="B20" t="s">
        <v>79</v>
      </c>
      <c r="C20">
        <v>50201</v>
      </c>
      <c r="D20">
        <v>511</v>
      </c>
      <c r="E20">
        <v>1</v>
      </c>
      <c r="F20" t="s">
        <v>72</v>
      </c>
      <c r="G20">
        <v>199095</v>
      </c>
      <c r="H20" s="1">
        <v>44743</v>
      </c>
      <c r="I20" t="s">
        <v>73</v>
      </c>
      <c r="J20" t="s">
        <v>74</v>
      </c>
      <c r="K20" t="s">
        <v>75</v>
      </c>
      <c r="L20">
        <v>2797</v>
      </c>
      <c r="P20">
        <v>1</v>
      </c>
      <c r="Q20">
        <v>2797</v>
      </c>
      <c r="R20" t="s">
        <v>76</v>
      </c>
      <c r="X20" t="s">
        <v>80</v>
      </c>
      <c r="Y20" t="s">
        <v>78</v>
      </c>
    </row>
    <row r="21" spans="1:25" x14ac:dyDescent="0.25">
      <c r="A21">
        <v>1.2511001025020201E+19</v>
      </c>
      <c r="B21" t="s">
        <v>79</v>
      </c>
      <c r="C21">
        <v>50201</v>
      </c>
      <c r="D21">
        <v>511</v>
      </c>
      <c r="E21">
        <v>1</v>
      </c>
      <c r="F21" t="s">
        <v>72</v>
      </c>
      <c r="G21">
        <v>912353</v>
      </c>
      <c r="H21" s="1">
        <v>44743</v>
      </c>
      <c r="I21" t="s">
        <v>73</v>
      </c>
      <c r="J21" t="s">
        <v>74</v>
      </c>
      <c r="K21" t="s">
        <v>75</v>
      </c>
      <c r="L21">
        <v>1497</v>
      </c>
      <c r="P21">
        <v>1</v>
      </c>
      <c r="Q21">
        <v>1497</v>
      </c>
      <c r="R21" t="s">
        <v>76</v>
      </c>
      <c r="X21" t="s">
        <v>80</v>
      </c>
      <c r="Y21" t="s">
        <v>78</v>
      </c>
    </row>
    <row r="22" spans="1:25" x14ac:dyDescent="0.25">
      <c r="A22">
        <v>1.25110031676202E+19</v>
      </c>
      <c r="B22" t="s">
        <v>79</v>
      </c>
      <c r="C22">
        <v>50201</v>
      </c>
      <c r="D22">
        <v>511</v>
      </c>
      <c r="E22">
        <v>3</v>
      </c>
      <c r="F22" t="s">
        <v>72</v>
      </c>
      <c r="G22">
        <v>215859</v>
      </c>
      <c r="H22" s="1">
        <v>44743</v>
      </c>
      <c r="I22" t="s">
        <v>73</v>
      </c>
      <c r="J22" t="s">
        <v>74</v>
      </c>
      <c r="K22" t="s">
        <v>75</v>
      </c>
      <c r="L22">
        <v>684</v>
      </c>
      <c r="P22">
        <v>1</v>
      </c>
      <c r="Q22">
        <v>684</v>
      </c>
      <c r="R22" t="s">
        <v>76</v>
      </c>
      <c r="X22" t="s">
        <v>77</v>
      </c>
      <c r="Y22" t="s">
        <v>78</v>
      </c>
    </row>
    <row r="23" spans="1:25" x14ac:dyDescent="0.25">
      <c r="A23">
        <v>1.25110031687202E+19</v>
      </c>
      <c r="B23" t="s">
        <v>79</v>
      </c>
      <c r="C23">
        <v>50201</v>
      </c>
      <c r="D23">
        <v>511</v>
      </c>
      <c r="E23">
        <v>3</v>
      </c>
      <c r="F23" t="s">
        <v>72</v>
      </c>
      <c r="G23">
        <v>170068</v>
      </c>
      <c r="H23" s="1">
        <v>44743</v>
      </c>
      <c r="I23" t="s">
        <v>73</v>
      </c>
      <c r="J23" t="s">
        <v>74</v>
      </c>
      <c r="K23" t="s">
        <v>75</v>
      </c>
      <c r="L23">
        <v>1000</v>
      </c>
      <c r="P23">
        <v>1</v>
      </c>
      <c r="Q23">
        <v>1000</v>
      </c>
      <c r="R23" t="s">
        <v>76</v>
      </c>
      <c r="X23" t="s">
        <v>77</v>
      </c>
      <c r="Y23" t="s">
        <v>78</v>
      </c>
    </row>
    <row r="24" spans="1:25" x14ac:dyDescent="0.25">
      <c r="A24">
        <v>1.25110010262202E+19</v>
      </c>
      <c r="B24" t="s">
        <v>79</v>
      </c>
      <c r="C24">
        <v>50201</v>
      </c>
      <c r="D24">
        <v>511</v>
      </c>
      <c r="E24">
        <v>1</v>
      </c>
      <c r="F24" t="s">
        <v>72</v>
      </c>
      <c r="G24">
        <v>269125</v>
      </c>
      <c r="H24" s="1">
        <v>44743</v>
      </c>
      <c r="I24" t="s">
        <v>73</v>
      </c>
      <c r="J24" t="s">
        <v>83</v>
      </c>
      <c r="K24" t="s">
        <v>75</v>
      </c>
      <c r="L24">
        <v>4679</v>
      </c>
      <c r="P24">
        <v>1</v>
      </c>
      <c r="Q24">
        <v>4679</v>
      </c>
      <c r="R24" t="s">
        <v>76</v>
      </c>
      <c r="X24" t="s">
        <v>80</v>
      </c>
      <c r="Y24" t="s">
        <v>78</v>
      </c>
    </row>
    <row r="25" spans="1:25" x14ac:dyDescent="0.25">
      <c r="A25">
        <v>1.2511003167420201E+19</v>
      </c>
      <c r="B25" t="s">
        <v>79</v>
      </c>
      <c r="C25">
        <v>50201</v>
      </c>
      <c r="D25">
        <v>511</v>
      </c>
      <c r="E25">
        <v>3</v>
      </c>
      <c r="F25" t="s">
        <v>72</v>
      </c>
      <c r="G25">
        <v>602276</v>
      </c>
      <c r="H25" s="1">
        <v>44743</v>
      </c>
      <c r="I25" t="s">
        <v>73</v>
      </c>
      <c r="J25" t="s">
        <v>74</v>
      </c>
      <c r="K25" t="s">
        <v>75</v>
      </c>
      <c r="L25">
        <v>65</v>
      </c>
      <c r="P25">
        <v>1</v>
      </c>
      <c r="Q25">
        <v>65</v>
      </c>
      <c r="R25" t="s">
        <v>76</v>
      </c>
      <c r="X25" t="s">
        <v>77</v>
      </c>
      <c r="Y25" t="s">
        <v>78</v>
      </c>
    </row>
    <row r="26" spans="1:25" x14ac:dyDescent="0.25">
      <c r="A26">
        <v>1.25110010255202E+19</v>
      </c>
      <c r="B26" t="s">
        <v>79</v>
      </c>
      <c r="C26">
        <v>50201</v>
      </c>
      <c r="D26">
        <v>511</v>
      </c>
      <c r="E26">
        <v>1</v>
      </c>
      <c r="F26" t="s">
        <v>72</v>
      </c>
      <c r="G26">
        <v>262010</v>
      </c>
      <c r="H26" s="1">
        <v>44743</v>
      </c>
      <c r="I26" t="s">
        <v>73</v>
      </c>
      <c r="J26" t="s">
        <v>74</v>
      </c>
      <c r="K26" t="s">
        <v>75</v>
      </c>
      <c r="L26">
        <v>504</v>
      </c>
      <c r="P26">
        <v>1</v>
      </c>
      <c r="Q26">
        <v>504</v>
      </c>
      <c r="R26" t="s">
        <v>76</v>
      </c>
      <c r="X26" t="s">
        <v>80</v>
      </c>
      <c r="Y26" t="s">
        <v>78</v>
      </c>
    </row>
    <row r="27" spans="1:25" x14ac:dyDescent="0.25">
      <c r="A27">
        <v>1.2511002341920201E+19</v>
      </c>
      <c r="B27" t="s">
        <v>71</v>
      </c>
      <c r="C27">
        <v>50201</v>
      </c>
      <c r="D27">
        <v>511</v>
      </c>
      <c r="E27">
        <v>2</v>
      </c>
      <c r="F27" t="s">
        <v>72</v>
      </c>
      <c r="G27">
        <v>17438</v>
      </c>
      <c r="H27" s="1">
        <v>44743</v>
      </c>
      <c r="I27" t="s">
        <v>73</v>
      </c>
      <c r="J27" t="s">
        <v>74</v>
      </c>
      <c r="K27" t="s">
        <v>75</v>
      </c>
      <c r="L27">
        <v>545</v>
      </c>
      <c r="P27">
        <v>1</v>
      </c>
      <c r="Q27">
        <v>545</v>
      </c>
      <c r="R27" t="s">
        <v>76</v>
      </c>
      <c r="X27" t="s">
        <v>82</v>
      </c>
      <c r="Y27" t="s">
        <v>78</v>
      </c>
    </row>
    <row r="28" spans="1:25" x14ac:dyDescent="0.25">
      <c r="A28">
        <v>1.25110023420202E+19</v>
      </c>
      <c r="B28" t="s">
        <v>71</v>
      </c>
      <c r="C28">
        <v>50201</v>
      </c>
      <c r="D28">
        <v>511</v>
      </c>
      <c r="E28">
        <v>2</v>
      </c>
      <c r="F28" t="s">
        <v>72</v>
      </c>
      <c r="G28">
        <v>185606</v>
      </c>
      <c r="H28" s="1">
        <v>44743</v>
      </c>
      <c r="I28" t="s">
        <v>73</v>
      </c>
      <c r="J28" t="s">
        <v>84</v>
      </c>
      <c r="K28" t="s">
        <v>75</v>
      </c>
      <c r="L28">
        <v>1197</v>
      </c>
      <c r="P28">
        <v>1</v>
      </c>
      <c r="Q28">
        <v>1197</v>
      </c>
      <c r="R28" t="s">
        <v>76</v>
      </c>
      <c r="X28" t="s">
        <v>82</v>
      </c>
      <c r="Y28" t="s">
        <v>78</v>
      </c>
    </row>
    <row r="29" spans="1:25" x14ac:dyDescent="0.25">
      <c r="A29">
        <v>1.2511002341620199E+19</v>
      </c>
      <c r="B29" t="s">
        <v>79</v>
      </c>
      <c r="C29">
        <v>50201</v>
      </c>
      <c r="D29">
        <v>511</v>
      </c>
      <c r="E29">
        <v>2</v>
      </c>
      <c r="F29" t="s">
        <v>72</v>
      </c>
      <c r="G29">
        <v>177134</v>
      </c>
      <c r="H29" s="1">
        <v>44743</v>
      </c>
      <c r="I29" t="s">
        <v>73</v>
      </c>
      <c r="J29" t="s">
        <v>74</v>
      </c>
      <c r="K29" t="s">
        <v>75</v>
      </c>
      <c r="L29">
        <v>284</v>
      </c>
      <c r="P29">
        <v>1</v>
      </c>
      <c r="Q29">
        <v>284</v>
      </c>
      <c r="R29" t="s">
        <v>76</v>
      </c>
      <c r="X29" t="s">
        <v>82</v>
      </c>
      <c r="Y29" t="s">
        <v>78</v>
      </c>
    </row>
    <row r="30" spans="1:25" x14ac:dyDescent="0.25">
      <c r="A30">
        <v>1.2511001025820201E+19</v>
      </c>
      <c r="B30" t="s">
        <v>79</v>
      </c>
      <c r="C30">
        <v>50201</v>
      </c>
      <c r="D30">
        <v>511</v>
      </c>
      <c r="E30">
        <v>1</v>
      </c>
      <c r="F30" t="s">
        <v>72</v>
      </c>
      <c r="G30">
        <v>953246</v>
      </c>
      <c r="H30" s="1">
        <v>44743</v>
      </c>
      <c r="I30" t="s">
        <v>73</v>
      </c>
      <c r="J30" t="s">
        <v>74</v>
      </c>
      <c r="K30" t="s">
        <v>75</v>
      </c>
      <c r="L30">
        <v>1000</v>
      </c>
      <c r="P30">
        <v>1</v>
      </c>
      <c r="Q30">
        <v>1000</v>
      </c>
      <c r="R30" t="s">
        <v>76</v>
      </c>
      <c r="X30" t="s">
        <v>80</v>
      </c>
      <c r="Y30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F520F-6D51-4CF9-A8F8-D40FC71A6E47}">
  <dimension ref="A3:E8"/>
  <sheetViews>
    <sheetView workbookViewId="0"/>
  </sheetViews>
  <sheetFormatPr baseColWidth="10" defaultRowHeight="15" x14ac:dyDescent="0.25"/>
  <cols>
    <col min="1" max="1" width="37.28515625" bestFit="1" customWidth="1"/>
    <col min="2" max="2" width="27.5703125" bestFit="1" customWidth="1"/>
    <col min="3" max="3" width="11" bestFit="1" customWidth="1"/>
    <col min="4" max="4" width="12" bestFit="1" customWidth="1"/>
    <col min="5" max="5" width="12.5703125" bestFit="1" customWidth="1"/>
  </cols>
  <sheetData>
    <row r="3" spans="1:5" x14ac:dyDescent="0.25">
      <c r="A3" s="3" t="s">
        <v>102</v>
      </c>
      <c r="B3" s="3" t="s">
        <v>85</v>
      </c>
    </row>
    <row r="4" spans="1:5" x14ac:dyDescent="0.25">
      <c r="A4" s="3" t="s">
        <v>87</v>
      </c>
      <c r="B4" t="s">
        <v>98</v>
      </c>
      <c r="C4" t="s">
        <v>96</v>
      </c>
      <c r="D4" t="s">
        <v>89</v>
      </c>
      <c r="E4" t="s">
        <v>86</v>
      </c>
    </row>
    <row r="5" spans="1:5" x14ac:dyDescent="0.25">
      <c r="A5" s="4">
        <v>50201</v>
      </c>
      <c r="B5" s="7">
        <v>1331</v>
      </c>
      <c r="C5" s="7">
        <v>7309.8</v>
      </c>
      <c r="D5" s="7">
        <v>18308.399999999998</v>
      </c>
      <c r="E5" s="7">
        <v>26949.199999999997</v>
      </c>
    </row>
    <row r="6" spans="1:5" x14ac:dyDescent="0.25">
      <c r="A6" s="5" t="s">
        <v>72</v>
      </c>
      <c r="B6" s="7">
        <v>1331</v>
      </c>
      <c r="C6" s="7">
        <v>7309.8</v>
      </c>
      <c r="D6" s="7">
        <v>18308.399999999998</v>
      </c>
      <c r="E6" s="7">
        <v>26949.199999999997</v>
      </c>
    </row>
    <row r="7" spans="1:5" x14ac:dyDescent="0.25">
      <c r="A7" s="6" t="s">
        <v>73</v>
      </c>
      <c r="B7" s="7">
        <v>1331</v>
      </c>
      <c r="C7" s="7">
        <v>7309.8</v>
      </c>
      <c r="D7" s="7">
        <v>18308.399999999998</v>
      </c>
      <c r="E7" s="7">
        <v>26949.199999999997</v>
      </c>
    </row>
    <row r="8" spans="1:5" x14ac:dyDescent="0.25">
      <c r="A8" s="4" t="s">
        <v>86</v>
      </c>
      <c r="B8" s="7">
        <v>1331</v>
      </c>
      <c r="C8" s="7">
        <v>7309.8</v>
      </c>
      <c r="D8" s="7">
        <v>18308.399999999998</v>
      </c>
      <c r="E8" s="7">
        <v>26949.199999999997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7"/>
  <sheetViews>
    <sheetView workbookViewId="0">
      <selection sqref="A1:AA7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13</v>
      </c>
      <c r="T1" s="2" t="s">
        <v>14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</row>
    <row r="2" spans="1:27" x14ac:dyDescent="0.25">
      <c r="A2" t="s">
        <v>89</v>
      </c>
      <c r="B2" s="1">
        <v>44743</v>
      </c>
      <c r="C2" t="s">
        <v>90</v>
      </c>
      <c r="D2" s="8" t="s">
        <v>91</v>
      </c>
      <c r="E2">
        <v>50201</v>
      </c>
      <c r="F2">
        <v>12511</v>
      </c>
      <c r="G2" t="s">
        <v>72</v>
      </c>
      <c r="H2">
        <v>3</v>
      </c>
      <c r="I2" t="s">
        <v>76</v>
      </c>
      <c r="J2" t="s">
        <v>73</v>
      </c>
      <c r="K2">
        <v>85088364</v>
      </c>
      <c r="L2" t="s">
        <v>92</v>
      </c>
      <c r="M2" t="s">
        <v>93</v>
      </c>
      <c r="N2" t="s">
        <v>75</v>
      </c>
      <c r="O2">
        <v>8475.4</v>
      </c>
      <c r="S2">
        <v>8475.4</v>
      </c>
      <c r="U2">
        <v>1</v>
      </c>
      <c r="V2">
        <v>8475.4</v>
      </c>
      <c r="Z2" t="s">
        <v>77</v>
      </c>
    </row>
    <row r="3" spans="1:27" x14ac:dyDescent="0.25">
      <c r="A3" t="s">
        <v>89</v>
      </c>
      <c r="B3" s="1">
        <v>44743</v>
      </c>
      <c r="C3" t="s">
        <v>90</v>
      </c>
      <c r="D3" s="8" t="s">
        <v>94</v>
      </c>
      <c r="E3">
        <v>50201</v>
      </c>
      <c r="F3">
        <v>12511</v>
      </c>
      <c r="G3" t="s">
        <v>72</v>
      </c>
      <c r="H3">
        <v>2</v>
      </c>
      <c r="I3" t="s">
        <v>76</v>
      </c>
      <c r="J3" t="s">
        <v>73</v>
      </c>
      <c r="K3">
        <v>85088299</v>
      </c>
      <c r="L3" t="s">
        <v>92</v>
      </c>
      <c r="M3" t="s">
        <v>93</v>
      </c>
      <c r="N3" t="s">
        <v>75</v>
      </c>
      <c r="O3">
        <v>3635.95</v>
      </c>
      <c r="S3">
        <v>3635.95</v>
      </c>
      <c r="U3">
        <v>1</v>
      </c>
      <c r="V3">
        <v>3635.95</v>
      </c>
      <c r="Z3" t="s">
        <v>77</v>
      </c>
    </row>
    <row r="4" spans="1:27" x14ac:dyDescent="0.25">
      <c r="A4" t="s">
        <v>89</v>
      </c>
      <c r="B4" s="1">
        <v>44743</v>
      </c>
      <c r="C4" t="s">
        <v>90</v>
      </c>
      <c r="D4" s="8" t="s">
        <v>95</v>
      </c>
      <c r="E4">
        <v>50201</v>
      </c>
      <c r="F4">
        <v>12511</v>
      </c>
      <c r="G4" t="s">
        <v>72</v>
      </c>
      <c r="H4">
        <v>1</v>
      </c>
      <c r="I4" t="s">
        <v>76</v>
      </c>
      <c r="J4" t="s">
        <v>73</v>
      </c>
      <c r="K4">
        <v>80573087</v>
      </c>
      <c r="L4" t="s">
        <v>92</v>
      </c>
      <c r="M4" t="s">
        <v>93</v>
      </c>
      <c r="N4" t="s">
        <v>75</v>
      </c>
      <c r="O4">
        <v>6197.05</v>
      </c>
      <c r="S4">
        <v>6197.05</v>
      </c>
      <c r="U4">
        <v>1</v>
      </c>
      <c r="V4">
        <v>6197.05</v>
      </c>
      <c r="Z4" t="s">
        <v>80</v>
      </c>
    </row>
    <row r="5" spans="1:27" x14ac:dyDescent="0.25">
      <c r="A5" t="s">
        <v>96</v>
      </c>
      <c r="B5" s="1">
        <v>44743</v>
      </c>
      <c r="C5" t="s">
        <v>90</v>
      </c>
      <c r="D5" s="8" t="s">
        <v>95</v>
      </c>
      <c r="E5">
        <v>50201</v>
      </c>
      <c r="F5">
        <v>12511</v>
      </c>
      <c r="G5" t="s">
        <v>72</v>
      </c>
      <c r="H5">
        <v>1</v>
      </c>
      <c r="I5" t="s">
        <v>76</v>
      </c>
      <c r="J5" t="s">
        <v>73</v>
      </c>
      <c r="K5">
        <v>80573344</v>
      </c>
      <c r="L5" t="s">
        <v>97</v>
      </c>
      <c r="M5" t="s">
        <v>93</v>
      </c>
      <c r="N5" t="s">
        <v>75</v>
      </c>
      <c r="O5">
        <v>7309.8</v>
      </c>
      <c r="S5">
        <v>7309.8</v>
      </c>
      <c r="U5">
        <v>1</v>
      </c>
      <c r="V5">
        <v>7309.8</v>
      </c>
      <c r="Z5" t="s">
        <v>80</v>
      </c>
    </row>
    <row r="6" spans="1:27" x14ac:dyDescent="0.25">
      <c r="A6" t="s">
        <v>98</v>
      </c>
      <c r="B6" s="1">
        <v>44743</v>
      </c>
      <c r="C6" t="s">
        <v>90</v>
      </c>
      <c r="D6" s="8" t="s">
        <v>94</v>
      </c>
      <c r="E6">
        <v>50201</v>
      </c>
      <c r="F6">
        <v>12511</v>
      </c>
      <c r="G6" t="s">
        <v>72</v>
      </c>
      <c r="H6">
        <v>2</v>
      </c>
      <c r="I6" t="s">
        <v>99</v>
      </c>
      <c r="J6" t="s">
        <v>73</v>
      </c>
      <c r="K6">
        <v>7942982</v>
      </c>
      <c r="L6" t="s">
        <v>100</v>
      </c>
      <c r="M6" t="s">
        <v>101</v>
      </c>
      <c r="N6" t="s">
        <v>75</v>
      </c>
      <c r="O6">
        <v>640</v>
      </c>
      <c r="S6">
        <v>640</v>
      </c>
      <c r="U6">
        <v>1</v>
      </c>
      <c r="V6">
        <v>640</v>
      </c>
      <c r="Z6" t="s">
        <v>77</v>
      </c>
    </row>
    <row r="7" spans="1:27" x14ac:dyDescent="0.25">
      <c r="A7" t="s">
        <v>98</v>
      </c>
      <c r="B7" s="1">
        <v>44743</v>
      </c>
      <c r="C7" t="s">
        <v>90</v>
      </c>
      <c r="D7" s="8" t="s">
        <v>95</v>
      </c>
      <c r="E7">
        <v>50201</v>
      </c>
      <c r="F7">
        <v>12511</v>
      </c>
      <c r="G7" t="s">
        <v>72</v>
      </c>
      <c r="H7">
        <v>1</v>
      </c>
      <c r="I7" t="s">
        <v>99</v>
      </c>
      <c r="J7" t="s">
        <v>73</v>
      </c>
      <c r="K7">
        <v>7942427</v>
      </c>
      <c r="L7" t="s">
        <v>100</v>
      </c>
      <c r="M7" t="s">
        <v>101</v>
      </c>
      <c r="N7" t="s">
        <v>75</v>
      </c>
      <c r="O7">
        <v>691</v>
      </c>
      <c r="S7">
        <v>691</v>
      </c>
      <c r="U7">
        <v>1</v>
      </c>
      <c r="V7">
        <v>691</v>
      </c>
      <c r="Z7" t="s">
        <v>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097F-331C-4578-A94B-8246A09EDE51}">
  <dimension ref="A3:H12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17" bestFit="1" customWidth="1"/>
    <col min="4" max="4" width="12.5703125" bestFit="1" customWidth="1"/>
    <col min="5" max="5" width="20.140625" bestFit="1" customWidth="1"/>
    <col min="6" max="7" width="18.5703125" bestFit="1" customWidth="1"/>
    <col min="8" max="8" width="12.5703125" bestFit="1" customWidth="1"/>
  </cols>
  <sheetData>
    <row r="3" spans="1:8" x14ac:dyDescent="0.25">
      <c r="A3" s="3" t="s">
        <v>88</v>
      </c>
      <c r="F3" s="3" t="s">
        <v>63</v>
      </c>
    </row>
    <row r="4" spans="1:8" x14ac:dyDescent="0.25">
      <c r="A4" s="3" t="s">
        <v>51</v>
      </c>
      <c r="B4" s="3" t="s">
        <v>52</v>
      </c>
      <c r="C4" s="3" t="s">
        <v>54</v>
      </c>
      <c r="D4" s="3" t="s">
        <v>62</v>
      </c>
      <c r="E4" s="3" t="s">
        <v>64</v>
      </c>
      <c r="F4" t="s">
        <v>109</v>
      </c>
      <c r="G4" t="s">
        <v>115</v>
      </c>
      <c r="H4" t="s">
        <v>86</v>
      </c>
    </row>
    <row r="5" spans="1:8" x14ac:dyDescent="0.25">
      <c r="A5" t="s">
        <v>104</v>
      </c>
      <c r="B5">
        <v>50201</v>
      </c>
      <c r="C5" s="9">
        <v>44771</v>
      </c>
      <c r="D5" t="s">
        <v>114</v>
      </c>
      <c r="E5" t="s">
        <v>203</v>
      </c>
      <c r="F5" s="7">
        <v>16869.150000000001</v>
      </c>
      <c r="G5" s="7">
        <v>36835</v>
      </c>
      <c r="H5" s="7">
        <v>53704.15</v>
      </c>
    </row>
    <row r="6" spans="1:8" x14ac:dyDescent="0.25">
      <c r="A6" t="s">
        <v>104</v>
      </c>
      <c r="B6">
        <v>50201</v>
      </c>
      <c r="C6" s="9">
        <v>44771</v>
      </c>
      <c r="D6" t="s">
        <v>204</v>
      </c>
      <c r="F6" s="7">
        <v>16869.150000000001</v>
      </c>
      <c r="G6" s="7">
        <v>36835</v>
      </c>
      <c r="H6" s="7">
        <v>53704.15</v>
      </c>
    </row>
    <row r="7" spans="1:8" x14ac:dyDescent="0.25">
      <c r="A7" t="s">
        <v>104</v>
      </c>
      <c r="B7">
        <v>50201</v>
      </c>
      <c r="C7" s="9">
        <v>44771</v>
      </c>
      <c r="D7" t="s">
        <v>108</v>
      </c>
      <c r="E7" t="s">
        <v>203</v>
      </c>
      <c r="F7" s="7">
        <v>680</v>
      </c>
      <c r="G7" s="7"/>
      <c r="H7" s="7">
        <v>680</v>
      </c>
    </row>
    <row r="8" spans="1:8" x14ac:dyDescent="0.25">
      <c r="A8" t="s">
        <v>104</v>
      </c>
      <c r="B8">
        <v>50201</v>
      </c>
      <c r="C8" s="9">
        <v>44771</v>
      </c>
      <c r="D8" t="s">
        <v>205</v>
      </c>
      <c r="F8" s="7">
        <v>680</v>
      </c>
      <c r="G8" s="7"/>
      <c r="H8" s="7">
        <v>680</v>
      </c>
    </row>
    <row r="9" spans="1:8" x14ac:dyDescent="0.25">
      <c r="A9" t="s">
        <v>104</v>
      </c>
      <c r="B9">
        <v>50201</v>
      </c>
      <c r="C9" s="9" t="s">
        <v>206</v>
      </c>
      <c r="F9" s="7">
        <v>17549.150000000001</v>
      </c>
      <c r="G9" s="7">
        <v>36835</v>
      </c>
      <c r="H9" s="7">
        <v>54384.15</v>
      </c>
    </row>
    <row r="10" spans="1:8" x14ac:dyDescent="0.25">
      <c r="A10" t="s">
        <v>104</v>
      </c>
      <c r="B10" t="s">
        <v>207</v>
      </c>
      <c r="F10" s="7">
        <v>17549.150000000001</v>
      </c>
      <c r="G10" s="7">
        <v>36835</v>
      </c>
      <c r="H10" s="7">
        <v>54384.15</v>
      </c>
    </row>
    <row r="11" spans="1:8" x14ac:dyDescent="0.25">
      <c r="A11" t="s">
        <v>208</v>
      </c>
      <c r="F11" s="7">
        <v>17549.150000000001</v>
      </c>
      <c r="G11" s="7">
        <v>36835</v>
      </c>
      <c r="H11" s="7">
        <v>54384.15</v>
      </c>
    </row>
    <row r="12" spans="1:8" x14ac:dyDescent="0.25">
      <c r="A12" t="s">
        <v>86</v>
      </c>
      <c r="F12" s="7">
        <v>17549.150000000001</v>
      </c>
      <c r="G12" s="7">
        <v>36835</v>
      </c>
      <c r="H12" s="7">
        <v>54384.15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25"/>
  <sheetViews>
    <sheetView workbookViewId="0">
      <selection sqref="A1:V25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  <c r="L1" s="2" t="s">
        <v>61</v>
      </c>
      <c r="M1" s="2" t="s">
        <v>62</v>
      </c>
      <c r="N1" s="2" t="s">
        <v>63</v>
      </c>
      <c r="O1" s="2" t="s">
        <v>64</v>
      </c>
      <c r="P1" s="2" t="s">
        <v>11</v>
      </c>
      <c r="Q1" s="2" t="s">
        <v>65</v>
      </c>
      <c r="R1" s="2" t="s">
        <v>66</v>
      </c>
      <c r="S1" s="2" t="s">
        <v>67</v>
      </c>
      <c r="T1" s="2" t="s">
        <v>68</v>
      </c>
      <c r="U1" s="2" t="s">
        <v>69</v>
      </c>
      <c r="V1" s="2" t="s">
        <v>70</v>
      </c>
    </row>
    <row r="2" spans="1:22" x14ac:dyDescent="0.25">
      <c r="A2" t="s">
        <v>103</v>
      </c>
      <c r="B2" t="s">
        <v>104</v>
      </c>
      <c r="C2">
        <v>50201</v>
      </c>
      <c r="D2">
        <v>3</v>
      </c>
      <c r="E2" s="9">
        <v>44771</v>
      </c>
      <c r="F2">
        <v>1673</v>
      </c>
      <c r="G2" s="8" t="s">
        <v>105</v>
      </c>
      <c r="J2" s="8" t="s">
        <v>106</v>
      </c>
      <c r="L2" t="s">
        <v>107</v>
      </c>
      <c r="M2" t="s">
        <v>108</v>
      </c>
      <c r="N2" t="s">
        <v>109</v>
      </c>
      <c r="P2">
        <v>630</v>
      </c>
      <c r="Q2" s="8" t="s">
        <v>110</v>
      </c>
      <c r="R2" s="8" t="s">
        <v>110</v>
      </c>
      <c r="S2" t="s">
        <v>111</v>
      </c>
    </row>
    <row r="3" spans="1:22" x14ac:dyDescent="0.25">
      <c r="A3" t="s">
        <v>103</v>
      </c>
      <c r="B3" t="s">
        <v>104</v>
      </c>
      <c r="C3">
        <v>50201</v>
      </c>
      <c r="D3">
        <v>1</v>
      </c>
      <c r="E3" s="9">
        <v>44771</v>
      </c>
      <c r="F3">
        <v>250</v>
      </c>
      <c r="G3" s="8" t="s">
        <v>112</v>
      </c>
      <c r="J3" s="8" t="s">
        <v>113</v>
      </c>
      <c r="L3" t="s">
        <v>107</v>
      </c>
      <c r="M3" t="s">
        <v>114</v>
      </c>
      <c r="N3" t="s">
        <v>115</v>
      </c>
      <c r="P3">
        <v>1497</v>
      </c>
      <c r="Q3" s="8" t="s">
        <v>116</v>
      </c>
      <c r="R3" s="8" t="s">
        <v>110</v>
      </c>
      <c r="S3" t="s">
        <v>117</v>
      </c>
      <c r="T3" t="s">
        <v>118</v>
      </c>
      <c r="V3" t="s">
        <v>119</v>
      </c>
    </row>
    <row r="4" spans="1:22" x14ac:dyDescent="0.25">
      <c r="A4" t="s">
        <v>103</v>
      </c>
      <c r="B4" t="s">
        <v>104</v>
      </c>
      <c r="C4">
        <v>50201</v>
      </c>
      <c r="D4">
        <v>3</v>
      </c>
      <c r="E4" s="9">
        <v>44771</v>
      </c>
      <c r="F4">
        <v>1669</v>
      </c>
      <c r="G4" s="8" t="s">
        <v>120</v>
      </c>
      <c r="J4" s="8" t="s">
        <v>121</v>
      </c>
      <c r="L4" t="s">
        <v>107</v>
      </c>
      <c r="M4" t="s">
        <v>114</v>
      </c>
      <c r="N4" t="s">
        <v>109</v>
      </c>
      <c r="P4">
        <v>117</v>
      </c>
      <c r="Q4" s="8" t="s">
        <v>122</v>
      </c>
      <c r="R4" s="8" t="s">
        <v>110</v>
      </c>
      <c r="S4" t="s">
        <v>123</v>
      </c>
    </row>
    <row r="5" spans="1:22" x14ac:dyDescent="0.25">
      <c r="A5" t="s">
        <v>103</v>
      </c>
      <c r="B5" t="s">
        <v>104</v>
      </c>
      <c r="C5">
        <v>50201</v>
      </c>
      <c r="D5">
        <v>1</v>
      </c>
      <c r="E5" s="9">
        <v>44771</v>
      </c>
      <c r="F5">
        <v>243</v>
      </c>
      <c r="G5" s="8" t="s">
        <v>124</v>
      </c>
      <c r="J5" s="8" t="s">
        <v>125</v>
      </c>
      <c r="L5" t="s">
        <v>107</v>
      </c>
      <c r="M5" t="s">
        <v>114</v>
      </c>
      <c r="N5" t="s">
        <v>115</v>
      </c>
      <c r="P5">
        <v>8145</v>
      </c>
      <c r="Q5" s="8" t="s">
        <v>126</v>
      </c>
      <c r="R5" s="8" t="s">
        <v>110</v>
      </c>
      <c r="S5" t="s">
        <v>111</v>
      </c>
      <c r="T5" t="s">
        <v>118</v>
      </c>
      <c r="V5" t="s">
        <v>127</v>
      </c>
    </row>
    <row r="6" spans="1:22" x14ac:dyDescent="0.25">
      <c r="A6" t="s">
        <v>103</v>
      </c>
      <c r="B6" t="s">
        <v>104</v>
      </c>
      <c r="C6">
        <v>50201</v>
      </c>
      <c r="D6">
        <v>1</v>
      </c>
      <c r="E6" s="9">
        <v>44771</v>
      </c>
      <c r="F6">
        <v>270</v>
      </c>
      <c r="G6" s="8" t="s">
        <v>128</v>
      </c>
      <c r="J6" s="8" t="s">
        <v>129</v>
      </c>
      <c r="L6" t="s">
        <v>107</v>
      </c>
      <c r="M6" t="s">
        <v>114</v>
      </c>
      <c r="N6" t="s">
        <v>115</v>
      </c>
      <c r="P6">
        <v>2797</v>
      </c>
      <c r="Q6" s="8" t="s">
        <v>130</v>
      </c>
      <c r="R6" s="8" t="s">
        <v>110</v>
      </c>
      <c r="S6" t="s">
        <v>131</v>
      </c>
      <c r="T6" t="s">
        <v>132</v>
      </c>
      <c r="V6" t="s">
        <v>119</v>
      </c>
    </row>
    <row r="7" spans="1:22" x14ac:dyDescent="0.25">
      <c r="A7" t="s">
        <v>103</v>
      </c>
      <c r="B7" t="s">
        <v>104</v>
      </c>
      <c r="C7">
        <v>50201</v>
      </c>
      <c r="D7">
        <v>3</v>
      </c>
      <c r="E7" s="9">
        <v>44771</v>
      </c>
      <c r="F7">
        <v>1678</v>
      </c>
      <c r="G7" s="8" t="s">
        <v>133</v>
      </c>
      <c r="J7" s="8" t="s">
        <v>134</v>
      </c>
      <c r="L7" t="s">
        <v>107</v>
      </c>
      <c r="M7" t="s">
        <v>114</v>
      </c>
      <c r="N7" t="s">
        <v>115</v>
      </c>
      <c r="P7">
        <v>3985</v>
      </c>
      <c r="Q7" s="8" t="s">
        <v>135</v>
      </c>
      <c r="R7" s="8" t="s">
        <v>110</v>
      </c>
      <c r="S7" t="s">
        <v>136</v>
      </c>
      <c r="T7" t="s">
        <v>137</v>
      </c>
      <c r="V7" t="s">
        <v>119</v>
      </c>
    </row>
    <row r="8" spans="1:22" x14ac:dyDescent="0.25">
      <c r="A8" t="s">
        <v>103</v>
      </c>
      <c r="B8" t="s">
        <v>104</v>
      </c>
      <c r="C8">
        <v>50201</v>
      </c>
      <c r="D8">
        <v>1</v>
      </c>
      <c r="E8" s="9">
        <v>44771</v>
      </c>
      <c r="F8">
        <v>253</v>
      </c>
      <c r="G8" s="8" t="s">
        <v>138</v>
      </c>
      <c r="J8" s="8" t="s">
        <v>139</v>
      </c>
      <c r="L8" t="s">
        <v>107</v>
      </c>
      <c r="M8" t="s">
        <v>114</v>
      </c>
      <c r="N8" t="s">
        <v>109</v>
      </c>
      <c r="P8">
        <v>1359.15</v>
      </c>
      <c r="Q8" s="8" t="s">
        <v>140</v>
      </c>
      <c r="R8" s="8" t="s">
        <v>110</v>
      </c>
      <c r="S8" t="s">
        <v>141</v>
      </c>
    </row>
    <row r="9" spans="1:22" x14ac:dyDescent="0.25">
      <c r="A9" t="s">
        <v>103</v>
      </c>
      <c r="B9" t="s">
        <v>104</v>
      </c>
      <c r="C9">
        <v>50201</v>
      </c>
      <c r="D9">
        <v>2</v>
      </c>
      <c r="E9" s="9">
        <v>44771</v>
      </c>
      <c r="F9">
        <v>3433</v>
      </c>
      <c r="G9" s="8" t="s">
        <v>142</v>
      </c>
      <c r="J9" s="8" t="s">
        <v>143</v>
      </c>
      <c r="L9" t="s">
        <v>107</v>
      </c>
      <c r="M9" t="s">
        <v>114</v>
      </c>
      <c r="N9" t="s">
        <v>109</v>
      </c>
      <c r="P9">
        <v>324</v>
      </c>
      <c r="Q9" s="8" t="s">
        <v>144</v>
      </c>
      <c r="R9" s="8" t="s">
        <v>110</v>
      </c>
      <c r="S9" t="s">
        <v>145</v>
      </c>
    </row>
    <row r="10" spans="1:22" x14ac:dyDescent="0.25">
      <c r="A10" t="s">
        <v>103</v>
      </c>
      <c r="B10" t="s">
        <v>104</v>
      </c>
      <c r="C10">
        <v>50201</v>
      </c>
      <c r="D10">
        <v>2</v>
      </c>
      <c r="E10" s="9">
        <v>44771</v>
      </c>
      <c r="F10">
        <v>3424</v>
      </c>
      <c r="G10" s="8" t="s">
        <v>146</v>
      </c>
      <c r="J10" s="8" t="s">
        <v>147</v>
      </c>
      <c r="L10" t="s">
        <v>107</v>
      </c>
      <c r="M10" t="s">
        <v>114</v>
      </c>
      <c r="N10" t="s">
        <v>109</v>
      </c>
      <c r="P10">
        <v>179</v>
      </c>
      <c r="Q10" s="8" t="s">
        <v>148</v>
      </c>
      <c r="R10" s="8" t="s">
        <v>110</v>
      </c>
      <c r="S10" t="s">
        <v>149</v>
      </c>
    </row>
    <row r="11" spans="1:22" x14ac:dyDescent="0.25">
      <c r="A11" t="s">
        <v>103</v>
      </c>
      <c r="B11" t="s">
        <v>104</v>
      </c>
      <c r="C11">
        <v>50201</v>
      </c>
      <c r="D11">
        <v>1</v>
      </c>
      <c r="E11" s="9">
        <v>44771</v>
      </c>
      <c r="F11">
        <v>262</v>
      </c>
      <c r="G11" s="8" t="s">
        <v>150</v>
      </c>
      <c r="J11" s="8" t="s">
        <v>151</v>
      </c>
      <c r="L11" t="s">
        <v>107</v>
      </c>
      <c r="M11" t="s">
        <v>114</v>
      </c>
      <c r="N11" t="s">
        <v>115</v>
      </c>
      <c r="P11">
        <v>4679</v>
      </c>
      <c r="Q11" s="8" t="s">
        <v>152</v>
      </c>
      <c r="R11" s="8" t="s">
        <v>110</v>
      </c>
      <c r="S11" t="s">
        <v>153</v>
      </c>
      <c r="T11" t="s">
        <v>154</v>
      </c>
      <c r="V11" t="s">
        <v>127</v>
      </c>
    </row>
    <row r="12" spans="1:22" x14ac:dyDescent="0.25">
      <c r="A12" t="s">
        <v>103</v>
      </c>
      <c r="B12" t="s">
        <v>104</v>
      </c>
      <c r="C12">
        <v>50201</v>
      </c>
      <c r="D12">
        <v>3</v>
      </c>
      <c r="E12" s="9">
        <v>44771</v>
      </c>
      <c r="F12">
        <v>1686</v>
      </c>
      <c r="G12" s="8" t="s">
        <v>155</v>
      </c>
      <c r="J12" s="8" t="s">
        <v>156</v>
      </c>
      <c r="L12" t="s">
        <v>107</v>
      </c>
      <c r="M12" t="s">
        <v>108</v>
      </c>
      <c r="N12" t="s">
        <v>109</v>
      </c>
      <c r="P12">
        <v>30</v>
      </c>
      <c r="Q12" s="8" t="s">
        <v>110</v>
      </c>
      <c r="R12" s="8" t="s">
        <v>110</v>
      </c>
    </row>
    <row r="13" spans="1:22" x14ac:dyDescent="0.25">
      <c r="A13" t="s">
        <v>103</v>
      </c>
      <c r="B13" t="s">
        <v>104</v>
      </c>
      <c r="C13">
        <v>50201</v>
      </c>
      <c r="D13">
        <v>2</v>
      </c>
      <c r="E13" s="9">
        <v>44771</v>
      </c>
      <c r="F13">
        <v>3407</v>
      </c>
      <c r="G13" s="8" t="s">
        <v>157</v>
      </c>
      <c r="J13" s="8" t="s">
        <v>158</v>
      </c>
      <c r="L13" t="s">
        <v>107</v>
      </c>
      <c r="M13" t="s">
        <v>108</v>
      </c>
      <c r="N13" t="s">
        <v>109</v>
      </c>
      <c r="P13">
        <v>10</v>
      </c>
      <c r="Q13" s="8" t="s">
        <v>110</v>
      </c>
      <c r="R13" s="8" t="s">
        <v>110</v>
      </c>
    </row>
    <row r="14" spans="1:22" x14ac:dyDescent="0.25">
      <c r="A14" t="s">
        <v>103</v>
      </c>
      <c r="B14" t="s">
        <v>104</v>
      </c>
      <c r="C14">
        <v>50201</v>
      </c>
      <c r="D14">
        <v>1</v>
      </c>
      <c r="E14" s="9">
        <v>44771</v>
      </c>
      <c r="F14">
        <v>271</v>
      </c>
      <c r="G14" s="8" t="s">
        <v>159</v>
      </c>
      <c r="J14" s="8" t="s">
        <v>160</v>
      </c>
      <c r="L14" t="s">
        <v>107</v>
      </c>
      <c r="M14" t="s">
        <v>114</v>
      </c>
      <c r="N14" t="s">
        <v>115</v>
      </c>
      <c r="P14">
        <v>5999</v>
      </c>
      <c r="Q14" s="8" t="s">
        <v>161</v>
      </c>
      <c r="R14" s="8" t="s">
        <v>110</v>
      </c>
      <c r="S14" t="s">
        <v>162</v>
      </c>
      <c r="T14" t="s">
        <v>137</v>
      </c>
      <c r="V14" t="s">
        <v>127</v>
      </c>
    </row>
    <row r="15" spans="1:22" x14ac:dyDescent="0.25">
      <c r="A15" t="s">
        <v>103</v>
      </c>
      <c r="B15" t="s">
        <v>104</v>
      </c>
      <c r="C15">
        <v>50201</v>
      </c>
      <c r="D15">
        <v>2</v>
      </c>
      <c r="E15" s="9">
        <v>44771</v>
      </c>
      <c r="F15">
        <v>3423</v>
      </c>
      <c r="G15" s="8" t="s">
        <v>163</v>
      </c>
      <c r="J15" s="8" t="s">
        <v>164</v>
      </c>
      <c r="L15" t="s">
        <v>107</v>
      </c>
      <c r="M15" t="s">
        <v>114</v>
      </c>
      <c r="N15" t="s">
        <v>109</v>
      </c>
      <c r="P15">
        <v>4197</v>
      </c>
      <c r="Q15" s="8" t="s">
        <v>165</v>
      </c>
      <c r="R15" s="8" t="s">
        <v>110</v>
      </c>
      <c r="S15" t="s">
        <v>166</v>
      </c>
    </row>
    <row r="16" spans="1:22" x14ac:dyDescent="0.25">
      <c r="A16" t="s">
        <v>103</v>
      </c>
      <c r="B16" t="s">
        <v>104</v>
      </c>
      <c r="C16">
        <v>50201</v>
      </c>
      <c r="D16">
        <v>2</v>
      </c>
      <c r="E16" s="9">
        <v>44771</v>
      </c>
      <c r="F16">
        <v>3413</v>
      </c>
      <c r="G16" s="8" t="s">
        <v>167</v>
      </c>
      <c r="J16" s="8" t="s">
        <v>168</v>
      </c>
      <c r="L16" t="s">
        <v>107</v>
      </c>
      <c r="M16" t="s">
        <v>114</v>
      </c>
      <c r="N16" t="s">
        <v>115</v>
      </c>
      <c r="P16">
        <v>656</v>
      </c>
      <c r="Q16" s="8" t="s">
        <v>169</v>
      </c>
      <c r="R16" s="8" t="s">
        <v>110</v>
      </c>
      <c r="S16" t="s">
        <v>170</v>
      </c>
      <c r="T16" t="s">
        <v>171</v>
      </c>
      <c r="V16" t="s">
        <v>172</v>
      </c>
    </row>
    <row r="17" spans="1:22" x14ac:dyDescent="0.25">
      <c r="A17" t="s">
        <v>103</v>
      </c>
      <c r="B17" t="s">
        <v>104</v>
      </c>
      <c r="C17">
        <v>50201</v>
      </c>
      <c r="D17">
        <v>3</v>
      </c>
      <c r="E17" s="9">
        <v>44771</v>
      </c>
      <c r="F17">
        <v>1688</v>
      </c>
      <c r="G17" s="8" t="s">
        <v>173</v>
      </c>
      <c r="J17" s="8" t="s">
        <v>174</v>
      </c>
      <c r="L17" t="s">
        <v>107</v>
      </c>
      <c r="M17" t="s">
        <v>114</v>
      </c>
      <c r="N17" t="s">
        <v>115</v>
      </c>
      <c r="P17">
        <v>2299</v>
      </c>
      <c r="Q17" s="8" t="s">
        <v>175</v>
      </c>
      <c r="R17" s="8" t="s">
        <v>110</v>
      </c>
      <c r="S17" t="s">
        <v>176</v>
      </c>
      <c r="T17" t="s">
        <v>137</v>
      </c>
      <c r="V17" t="s">
        <v>127</v>
      </c>
    </row>
    <row r="18" spans="1:22" x14ac:dyDescent="0.25">
      <c r="A18" t="s">
        <v>103</v>
      </c>
      <c r="B18" t="s">
        <v>104</v>
      </c>
      <c r="C18">
        <v>50201</v>
      </c>
      <c r="D18">
        <v>1</v>
      </c>
      <c r="E18" s="9">
        <v>44771</v>
      </c>
      <c r="F18">
        <v>248</v>
      </c>
      <c r="G18" s="8" t="s">
        <v>177</v>
      </c>
      <c r="J18" s="8" t="s">
        <v>178</v>
      </c>
      <c r="L18" t="s">
        <v>107</v>
      </c>
      <c r="M18" t="s">
        <v>114</v>
      </c>
      <c r="N18" t="s">
        <v>115</v>
      </c>
      <c r="P18">
        <v>3391</v>
      </c>
      <c r="Q18" s="8" t="s">
        <v>179</v>
      </c>
      <c r="R18" s="8" t="s">
        <v>110</v>
      </c>
      <c r="S18" t="s">
        <v>180</v>
      </c>
      <c r="T18" t="s">
        <v>132</v>
      </c>
      <c r="V18" t="s">
        <v>119</v>
      </c>
    </row>
    <row r="19" spans="1:22" x14ac:dyDescent="0.25">
      <c r="A19" t="s">
        <v>103</v>
      </c>
      <c r="B19" t="s">
        <v>104</v>
      </c>
      <c r="C19">
        <v>50201</v>
      </c>
      <c r="D19">
        <v>1</v>
      </c>
      <c r="E19" s="9">
        <v>44771</v>
      </c>
      <c r="F19">
        <v>248</v>
      </c>
      <c r="G19" s="8" t="s">
        <v>177</v>
      </c>
      <c r="J19" s="8" t="s">
        <v>178</v>
      </c>
      <c r="L19" t="s">
        <v>107</v>
      </c>
      <c r="M19" t="s">
        <v>114</v>
      </c>
      <c r="N19" t="s">
        <v>115</v>
      </c>
      <c r="P19">
        <v>2003</v>
      </c>
      <c r="Q19" s="8" t="s">
        <v>179</v>
      </c>
      <c r="R19" s="8" t="s">
        <v>110</v>
      </c>
      <c r="S19" t="s">
        <v>180</v>
      </c>
      <c r="T19" t="s">
        <v>154</v>
      </c>
      <c r="V19" t="s">
        <v>119</v>
      </c>
    </row>
    <row r="20" spans="1:22" x14ac:dyDescent="0.25">
      <c r="A20" t="s">
        <v>103</v>
      </c>
      <c r="B20" t="s">
        <v>104</v>
      </c>
      <c r="C20">
        <v>50201</v>
      </c>
      <c r="D20">
        <v>1</v>
      </c>
      <c r="E20" s="9">
        <v>44771</v>
      </c>
      <c r="F20">
        <v>244</v>
      </c>
      <c r="G20" s="8" t="s">
        <v>181</v>
      </c>
      <c r="J20" s="8" t="s">
        <v>182</v>
      </c>
      <c r="L20" t="s">
        <v>107</v>
      </c>
      <c r="M20" t="s">
        <v>108</v>
      </c>
      <c r="N20" t="s">
        <v>109</v>
      </c>
      <c r="P20">
        <v>10</v>
      </c>
      <c r="Q20" s="8" t="s">
        <v>110</v>
      </c>
      <c r="R20" s="8" t="s">
        <v>110</v>
      </c>
    </row>
    <row r="21" spans="1:22" x14ac:dyDescent="0.25">
      <c r="A21" t="s">
        <v>103</v>
      </c>
      <c r="B21" t="s">
        <v>104</v>
      </c>
      <c r="C21">
        <v>50201</v>
      </c>
      <c r="D21">
        <v>2</v>
      </c>
      <c r="E21" s="9">
        <v>44771</v>
      </c>
      <c r="F21">
        <v>3420</v>
      </c>
      <c r="G21" s="8" t="s">
        <v>183</v>
      </c>
      <c r="J21" s="8" t="s">
        <v>184</v>
      </c>
      <c r="L21" t="s">
        <v>107</v>
      </c>
      <c r="M21" t="s">
        <v>114</v>
      </c>
      <c r="N21" t="s">
        <v>115</v>
      </c>
      <c r="P21">
        <v>1197</v>
      </c>
      <c r="Q21" s="8" t="s">
        <v>185</v>
      </c>
      <c r="R21" s="8" t="s">
        <v>110</v>
      </c>
      <c r="S21" t="s">
        <v>186</v>
      </c>
      <c r="T21" t="s">
        <v>171</v>
      </c>
      <c r="V21" t="s">
        <v>187</v>
      </c>
    </row>
    <row r="22" spans="1:22" x14ac:dyDescent="0.25">
      <c r="A22" t="s">
        <v>103</v>
      </c>
      <c r="B22" t="s">
        <v>104</v>
      </c>
      <c r="C22">
        <v>50201</v>
      </c>
      <c r="D22">
        <v>1</v>
      </c>
      <c r="E22" s="9">
        <v>44771</v>
      </c>
      <c r="F22">
        <v>260</v>
      </c>
      <c r="G22" s="8" t="s">
        <v>188</v>
      </c>
      <c r="J22" s="8" t="s">
        <v>189</v>
      </c>
      <c r="L22" t="s">
        <v>107</v>
      </c>
      <c r="M22" t="s">
        <v>114</v>
      </c>
      <c r="N22" t="s">
        <v>109</v>
      </c>
      <c r="P22">
        <v>5297</v>
      </c>
      <c r="Q22" s="8" t="s">
        <v>190</v>
      </c>
      <c r="R22" s="8" t="s">
        <v>110</v>
      </c>
      <c r="S22" t="s">
        <v>191</v>
      </c>
    </row>
    <row r="23" spans="1:22" x14ac:dyDescent="0.25">
      <c r="A23" t="s">
        <v>103</v>
      </c>
      <c r="B23" t="s">
        <v>104</v>
      </c>
      <c r="C23">
        <v>50201</v>
      </c>
      <c r="D23">
        <v>2</v>
      </c>
      <c r="E23" s="9">
        <v>44771</v>
      </c>
      <c r="F23">
        <v>3431</v>
      </c>
      <c r="G23" s="8" t="s">
        <v>192</v>
      </c>
      <c r="J23" s="8" t="s">
        <v>193</v>
      </c>
      <c r="L23" t="s">
        <v>107</v>
      </c>
      <c r="M23" t="s">
        <v>114</v>
      </c>
      <c r="N23" t="s">
        <v>109</v>
      </c>
      <c r="P23">
        <v>99</v>
      </c>
      <c r="Q23" s="8" t="s">
        <v>194</v>
      </c>
      <c r="R23" s="8" t="s">
        <v>110</v>
      </c>
      <c r="S23" t="s">
        <v>195</v>
      </c>
    </row>
    <row r="24" spans="1:22" x14ac:dyDescent="0.25">
      <c r="A24" t="s">
        <v>103</v>
      </c>
      <c r="B24" t="s">
        <v>104</v>
      </c>
      <c r="C24">
        <v>50201</v>
      </c>
      <c r="D24">
        <v>1</v>
      </c>
      <c r="E24" s="9">
        <v>44771</v>
      </c>
      <c r="F24">
        <v>256</v>
      </c>
      <c r="G24" s="8" t="s">
        <v>196</v>
      </c>
      <c r="J24" s="8" t="s">
        <v>197</v>
      </c>
      <c r="L24" t="s">
        <v>107</v>
      </c>
      <c r="M24" t="s">
        <v>114</v>
      </c>
      <c r="N24" t="s">
        <v>109</v>
      </c>
      <c r="P24">
        <v>5297</v>
      </c>
      <c r="Q24" s="8" t="s">
        <v>198</v>
      </c>
      <c r="R24" s="8" t="s">
        <v>110</v>
      </c>
      <c r="S24" t="s">
        <v>191</v>
      </c>
    </row>
    <row r="25" spans="1:22" x14ac:dyDescent="0.25">
      <c r="A25" t="s">
        <v>103</v>
      </c>
      <c r="B25" t="s">
        <v>104</v>
      </c>
      <c r="C25">
        <v>50201</v>
      </c>
      <c r="D25">
        <v>1</v>
      </c>
      <c r="E25" s="9">
        <v>44771</v>
      </c>
      <c r="F25">
        <v>263</v>
      </c>
      <c r="G25" s="8" t="s">
        <v>199</v>
      </c>
      <c r="J25" s="8" t="s">
        <v>200</v>
      </c>
      <c r="L25" t="s">
        <v>107</v>
      </c>
      <c r="M25" t="s">
        <v>114</v>
      </c>
      <c r="N25" t="s">
        <v>115</v>
      </c>
      <c r="P25">
        <v>187</v>
      </c>
      <c r="Q25" s="8" t="s">
        <v>201</v>
      </c>
      <c r="R25" s="8" t="s">
        <v>110</v>
      </c>
      <c r="S25" t="s">
        <v>202</v>
      </c>
      <c r="T25" t="s">
        <v>137</v>
      </c>
      <c r="V25" t="s">
        <v>119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Cierre</vt:lpstr>
      <vt:lpstr>tblTarjetas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2022-08-01T15:07:21Z</dcterms:modified>
</cp:coreProperties>
</file>