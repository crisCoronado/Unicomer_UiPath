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E766677B-30DE-48BC-A08B-935566BCD33C}" xr6:coauthVersionLast="47" xr6:coauthVersionMax="47" xr10:uidLastSave="{00000000-0000-0000-0000-000000000000}"/>
  <bookViews>
    <workbookView xWindow="1170" yWindow="117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10" r:id="rId8"/>
    <pivotCache cacheId="11" r:id="rId9"/>
    <pivotCache cacheId="1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<sst xmlns="http://schemas.openxmlformats.org/spreadsheetml/2006/main" count="476" uniqueCount="177">
  <si>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</si>
  <si>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</si>
  <si>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</si>
  <si>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</si>
  <si>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</si>
  <si>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</si>
  <si>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</si>
  <si>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</si>
  <si>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</si>
  <si>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</si>
  <si>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</si>
  <si>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</si>
  <si>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</si>
  <si>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</si>
  <si>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</si>
  <si>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</si>
  <si>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</si>
  <si>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</si>
  <si>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</si>
  <si>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</si>
  <si>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</si>
  <si>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</si>
  <si>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</si>
  <si>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</si>
  <si>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</si>
  <si>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</si>
  <si>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</si>
  <si>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</si>
  <si>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</si>
  <si>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</si>
  <si>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</si>
  <si>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</si>
  <si>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</si>
  <si>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</si>
  <si>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</si>
  <si>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</si>
  <si>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</si>
  <si>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</si>
  <si>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</si>
  <si>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</si>
  <si>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</si>
  <si>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</si>
  <si>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</si>
  <si>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</si>
  <si>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</si>
  <si>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</si>
  <si>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</si>
  <si>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</si>
  <si>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</si>
  <si>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</si>
  <si>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</si>
  <si>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</si>
  <si>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</si>
  <si>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</si>
  <si>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</si>
  <si>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</si>
  <si>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</si>
  <si>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</si>
  <si>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</si>
  <si>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</si>
  <si>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</si>
  <si>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</si>
  <si>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</si>
  <si>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</si>
  <si>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</si>
  <si>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</si>
  <si>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</si>
  <si>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</si>
  <si>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</si>
  <si>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</si>
  <si>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</si>
  <si>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</si>
  <si>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UNICOMER-SUPER TIENDA ROOSEVELT-</t>
  </si>
  <si>
    <t>29/07/2022</t>
  </si>
  <si>
    <t>TARJETA</t>
  </si>
  <si>
    <t>GTQ</t>
  </si>
  <si>
    <t>NOC</t>
  </si>
  <si>
    <t>MARTA HERMINIA DIAZ PINEDA</t>
  </si>
  <si>
    <t>system</t>
  </si>
  <si>
    <t>Union Comercial de Guatemala, S.A. - Banco de America Central, S.A.</t>
  </si>
  <si>
    <t>VISANET 10 PAGOS</t>
  </si>
  <si>
    <t>CREDOMATIC 10 PAGOS</t>
  </si>
  <si>
    <t>Etiquetas de columna</t>
  </si>
  <si>
    <t>Total general</t>
  </si>
  <si>
    <t>Etiquetas de fila</t>
  </si>
  <si>
    <t>Suma de MONTO</t>
  </si>
  <si>
    <t>UNICOSERVI</t>
  </si>
  <si>
    <t>CSH</t>
  </si>
  <si>
    <t>12513000085220220729</t>
  </si>
  <si>
    <t>000-000908-4</t>
  </si>
  <si>
    <t>Banco Industrial, S.A.</t>
  </si>
  <si>
    <t>BLUESTART GUATEMALA, S.A.</t>
  </si>
  <si>
    <t>NRGL</t>
  </si>
  <si>
    <t>066-0030603-2</t>
  </si>
  <si>
    <t>Banco G&amp;T C</t>
  </si>
  <si>
    <t>Suma de Monto</t>
  </si>
  <si>
    <t>LA CURACAO</t>
  </si>
  <si>
    <t>CRC ROOSEVELT</t>
  </si>
  <si>
    <t>12513093969420220729</t>
  </si>
  <si>
    <t>B1B4549B3541779836</t>
  </si>
  <si>
    <t>Factura Consumidor Final</t>
  </si>
  <si>
    <t>Ventas Contado</t>
  </si>
  <si>
    <t>Efectivo</t>
  </si>
  <si>
    <t/>
  </si>
  <si>
    <t>UNION COMERCIAL DE GUATEMALA SA</t>
  </si>
  <si>
    <t>12513093969120220729</t>
  </si>
  <si>
    <t>3C20F9121929661951</t>
  </si>
  <si>
    <t>12513093968220220729</t>
  </si>
  <si>
    <t>3EBC4C903615640335</t>
  </si>
  <si>
    <t>Venta Cotización contado</t>
  </si>
  <si>
    <t>Tarjeta de Credito</t>
  </si>
  <si>
    <t>125132092207T7</t>
  </si>
  <si>
    <t xml:space="preserve">CARLOS `  CRUZ  </t>
  </si>
  <si>
    <t>BANCO DE AMÉRICA CENTRAL, S.A</t>
  </si>
  <si>
    <t>Credomatic10Pagos</t>
  </si>
  <si>
    <t>12513093969020220729</t>
  </si>
  <si>
    <t>DED729661066224551</t>
  </si>
  <si>
    <t>BANCO INDUSTRIAL, S.A.|000-063</t>
  </si>
  <si>
    <t>Card</t>
  </si>
  <si>
    <t>12513093971220220729</t>
  </si>
  <si>
    <t>102D790D3012775313</t>
  </si>
  <si>
    <t>125132072209R2</t>
  </si>
  <si>
    <t>EDIX ANTONIO HERNANDEZ DEL CID</t>
  </si>
  <si>
    <t>12513093967220220729</t>
  </si>
  <si>
    <t>F28B6C3D606423240</t>
  </si>
  <si>
    <t>Pay pal</t>
  </si>
  <si>
    <t>125132122203CJ</t>
  </si>
  <si>
    <t xml:space="preserve">JOSUE   RAMIREZ  </t>
  </si>
  <si>
    <t>12513093966920220729</t>
  </si>
  <si>
    <t>92562D4D1210860165</t>
  </si>
  <si>
    <t>12513206220CK9</t>
  </si>
  <si>
    <t xml:space="preserve">CARLOS   FANJUL  </t>
  </si>
  <si>
    <t>BANCO INTERNACIONAL, S.A.|8100</t>
  </si>
  <si>
    <t>Visanet10Pagos</t>
  </si>
  <si>
    <t>12513093966620220729</t>
  </si>
  <si>
    <t>55B59129641548309</t>
  </si>
  <si>
    <t>125132072209QR</t>
  </si>
  <si>
    <t xml:space="preserve">PABLO   MOLINA   </t>
  </si>
  <si>
    <t>BANCO DE LOS TRABAJADORES</t>
  </si>
  <si>
    <t>12513093968520220729</t>
  </si>
  <si>
    <t>0FD8A34C3600959944</t>
  </si>
  <si>
    <t>125132092207T8</t>
  </si>
  <si>
    <t xml:space="preserve">MARIBEL   GIRON  </t>
  </si>
  <si>
    <t>BANCO DE DESARROLLO RURAL, S.A</t>
  </si>
  <si>
    <t>12513093970020220729</t>
  </si>
  <si>
    <t>EE05DB1A2193377489</t>
  </si>
  <si>
    <t>12513093968820220729</t>
  </si>
  <si>
    <t>9C68002D1458523454</t>
  </si>
  <si>
    <t>125132092207T9</t>
  </si>
  <si>
    <t xml:space="preserve">FLORY   PEREZ  </t>
  </si>
  <si>
    <t>12513093970520220729</t>
  </si>
  <si>
    <t>21A0A59B2668252215</t>
  </si>
  <si>
    <t>125132082208D5</t>
  </si>
  <si>
    <t>ERICK ROBERTO MIRANDA CHONAY</t>
  </si>
  <si>
    <t>12513093968620220729</t>
  </si>
  <si>
    <t>FE95807F3319220778</t>
  </si>
  <si>
    <t>12513206220CKC</t>
  </si>
  <si>
    <t xml:space="preserve">COMERCIAL    MODERNO  </t>
  </si>
  <si>
    <t>Valor a Favor</t>
  </si>
  <si>
    <t>(en blanco)</t>
  </si>
  <si>
    <t>Total Venta Cotización contado</t>
  </si>
  <si>
    <t>Total Ventas Contado</t>
  </si>
  <si>
    <t>Total 29/07/2022</t>
  </si>
  <si>
    <t>Total 50203</t>
  </si>
  <si>
    <t>Total CRC ROOSEVELT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</si>
  <si>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</si>
  <si>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</si>
  <si>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</si>
  <si>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</si>
  <si>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</si>
  <si>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</si>
  <si>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</si>
  <si>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</si>
  <si>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</si>
  <si>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</si>
  <si>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</si>
  <si>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UNICOMER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</si>
</sst>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1036921296" createdVersion="3" refreshedVersion="8" minRefreshableVersion="3" recordCount="18" xr:uid="{C742784D-2DE5-474C-BF57-1C70CB671454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3093966620201E+19" maxValue="1.2513093971220199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3" maxValue="50203" count="1">
        <n v="50203"/>
      </sharedItems>
    </cacheField>
    <cacheField name="RI" numFmtId="0">
      <sharedItems containsSemiMixedTypes="0" containsString="0" containsNumber="1" containsInteger="1" minValue="513" maxValue="513"/>
    </cacheField>
    <cacheField name="NO CAJA" numFmtId="0">
      <sharedItems containsSemiMixedTypes="0" containsString="0" containsNumber="1" containsInteger="1" minValue="93" maxValue="93"/>
    </cacheField>
    <cacheField name="DESC ALMACEN" numFmtId="0">
      <sharedItems count="1">
        <s v="UNICOMER-SUPER TIENDA ROOSEVELT-"/>
      </sharedItems>
    </cacheField>
    <cacheField name="REFERENCIA" numFmtId="0">
      <sharedItems containsSemiMixedTypes="0" containsString="0" containsNumber="1" containsInteger="1" minValue="1241" maxValue="997567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containsInteger="1" minValue="50" maxValue="11246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containsInteger="1" minValue="50" maxValue="11246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1065625" createdVersion="3" refreshedVersion="8" minRefreshableVersion="3" recordCount="2" xr:uid="{CFF3CF68-089C-4380-8A7A-16587BD5A496}">
  <cacheSource type="worksheet">
    <worksheetSource name="Tabla2"/>
  </cacheSource>
  <cacheFields count="27">
    <cacheField name="Compañia" numFmtId="0">
      <sharedItems count="2">
        <s v="UNICOSERVI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3" maxValue="50203" count="1">
        <n v="50203"/>
      </sharedItems>
    </cacheField>
    <cacheField name="Tienda" numFmtId="0">
      <sharedItems containsSemiMixedTypes="0" containsString="0" containsNumber="1" containsInteger="1" minValue="12513" maxValue="12513"/>
    </cacheField>
    <cacheField name="Desc Almacen" numFmtId="0">
      <sharedItems count="1">
        <s v="UNICOMER-SUPER TIENDA ROOSEVELT-"/>
      </sharedItems>
    </cacheField>
    <cacheField name="Caja" numFmtId="0">
      <sharedItems containsSemiMixedTypes="0" containsString="0" containsNumber="1" containsInteger="1" minValue="93" maxValue="93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7298286" maxValue="77776977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385.15" maxValue="1712"/>
    </cacheField>
    <cacheField name="Fecha Banco" numFmtId="0">
      <sharedItems containsNonDate="0" containsString="0" containsBlank="1"/>
    </cacheField>
    <cacheField name="Número Déposito Confirmado" numFmtId="0">
      <sharedItems containsNonDate="0" containsString="0" containsBlank="1"/>
    </cacheField>
    <cacheField name="Número Cuenta Confirmada" numFmtId="0">
      <sharedItems containsNonDate="0" containsString="0" containsBlank="1"/>
    </cacheField>
    <cacheField name="Monto Confirmado" numFmtId="0">
      <sharedItems containsSemiMixedTypes="0" containsString="0" containsNumber="1" minValue="385.15" maxValue="1712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385.15" maxValue="1712"/>
    </cacheField>
    <cacheField name="Motivo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1162152779" createdVersion="3" refreshedVersion="8" minRefreshableVersion="3" recordCount="14" xr:uid="{D6D80BAF-E617-4EDA-8A1E-8BDDF0B8C329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ROOSEVELT"/>
      </sharedItems>
    </cacheField>
    <cacheField name="CDA" numFmtId="0">
      <sharedItems containsSemiMixedTypes="0" containsString="0" containsNumber="1" containsInteger="1" minValue="50203" maxValue="50203" count="1">
        <n v="50203"/>
      </sharedItems>
    </cacheField>
    <cacheField name="CAJA" numFmtId="0">
      <sharedItems containsSemiMixedTypes="0" containsString="0" containsNumber="1" containsInteger="1" minValue="93" maxValue="93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9666" maxValue="9712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s Contado"/>
        <s v="Venta Cotización contado"/>
      </sharedItems>
    </cacheField>
    <cacheField name="FORMA DE PAGO" numFmtId="0">
      <sharedItems count="4">
        <s v="Efectivo"/>
        <s v="Tarjeta de Credito"/>
        <s v="Pay pal"/>
        <s v="Valor a Favor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containsInteger="1" minValue="10" maxValue="11246"/>
    </cacheField>
    <cacheField name="NUM_COTIZACON" numFmtId="0">
      <sharedItems/>
    </cacheField>
    <cacheField name="NUM_CUENTA" numFmtId="0">
      <sharedItems/>
    </cacheField>
    <cacheField name="NOMBRE_CLIENTE" numFmtId="0">
      <sharedItems containsBlank="1"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n v="1.25130939685202E+19"/>
    <s v="Union Comercial de Guatemala, S.A. - Banco G&amp;T Continental, S.A."/>
    <x v="0"/>
    <n v="513"/>
    <n v="93"/>
    <x v="0"/>
    <n v="860402"/>
    <d v="2022-07-01T00:00:00"/>
    <x v="0"/>
    <s v="TARJETA"/>
    <s v="GTQ"/>
    <n v="2355"/>
    <m/>
    <m/>
    <m/>
    <n v="1"/>
    <n v="2355"/>
    <x v="0"/>
    <m/>
    <m/>
    <m/>
    <m/>
    <m/>
    <s v="MARTA HERMINIA DIAZ PINEDA"/>
    <s v="system"/>
  </r>
  <r>
    <n v="1.2513093969020201E+19"/>
    <s v="Union Comercial de Guatemala, S.A. - Banco G&amp;T Continental, S.A."/>
    <x v="0"/>
    <n v="513"/>
    <n v="93"/>
    <x v="0"/>
    <n v="223125"/>
    <d v="2022-07-01T00:00:00"/>
    <x v="0"/>
    <s v="TARJETA"/>
    <s v="GTQ"/>
    <n v="50"/>
    <m/>
    <m/>
    <m/>
    <n v="1"/>
    <n v="50"/>
    <x v="0"/>
    <m/>
    <m/>
    <m/>
    <m/>
    <m/>
    <s v="MARTA HERMINIA DIAZ PINEDA"/>
    <s v="system"/>
  </r>
  <r>
    <n v="1.25130939671202E+19"/>
    <s v="Union Comercial de Guatemala, S.A. - Banco de America Central, S.A."/>
    <x v="0"/>
    <n v="513"/>
    <n v="93"/>
    <x v="0"/>
    <n v="103420"/>
    <d v="2022-07-01T00:00:00"/>
    <x v="0"/>
    <s v="TARJETA"/>
    <s v="GTQ"/>
    <n v="4804"/>
    <m/>
    <m/>
    <m/>
    <n v="1"/>
    <n v="4804"/>
    <x v="0"/>
    <m/>
    <m/>
    <m/>
    <m/>
    <m/>
    <s v="MARTA HERMINIA DIAZ PINEDA"/>
    <s v="system"/>
  </r>
  <r>
    <n v="1.25130939678202E+19"/>
    <s v="Union Comercial de Guatemala, S.A. - Banco de America Central, S.A."/>
    <x v="0"/>
    <n v="513"/>
    <n v="93"/>
    <x v="0"/>
    <n v="307592"/>
    <d v="2022-07-01T00:00:00"/>
    <x v="0"/>
    <s v="TARJETA"/>
    <s v="GTQ"/>
    <n v="146"/>
    <m/>
    <m/>
    <m/>
    <n v="1"/>
    <n v="146"/>
    <x v="0"/>
    <m/>
    <m/>
    <m/>
    <m/>
    <m/>
    <s v="MARTA HERMINIA DIAZ PINEDA"/>
    <s v="system"/>
  </r>
  <r>
    <n v="1.25130939709202E+19"/>
    <s v="Union Comercial de Guatemala, S.A. - Banco de America Central, S.A."/>
    <x v="0"/>
    <n v="513"/>
    <n v="93"/>
    <x v="0"/>
    <n v="1821"/>
    <d v="2022-07-01T00:00:00"/>
    <x v="0"/>
    <s v="TARJETA"/>
    <s v="GTQ"/>
    <n v="572"/>
    <m/>
    <m/>
    <m/>
    <n v="1"/>
    <n v="572"/>
    <x v="0"/>
    <m/>
    <m/>
    <m/>
    <m/>
    <m/>
    <s v="MARTA HERMINIA DIAZ PINEDA"/>
    <s v="system"/>
  </r>
  <r>
    <n v="1.2513093966620201E+19"/>
    <s v="Union Comercial de Guatemala, S.A. - Banco G&amp;T Continental, S.A."/>
    <x v="0"/>
    <n v="513"/>
    <n v="93"/>
    <x v="0"/>
    <n v="307157"/>
    <d v="2022-07-01T00:00:00"/>
    <x v="0"/>
    <s v="VISANET 10 PAGOS"/>
    <s v="GTQ"/>
    <n v="2396"/>
    <m/>
    <m/>
    <m/>
    <n v="1"/>
    <n v="2396"/>
    <x v="0"/>
    <m/>
    <m/>
    <m/>
    <m/>
    <m/>
    <s v="MARTA HERMINIA DIAZ PINEDA"/>
    <s v="system"/>
  </r>
  <r>
    <n v="1.25130939669202E+19"/>
    <s v="Union Comercial de Guatemala, S.A. - Banco G&amp;T Continental, S.A."/>
    <x v="0"/>
    <n v="513"/>
    <n v="93"/>
    <x v="0"/>
    <n v="1241"/>
    <d v="2022-07-01T00:00:00"/>
    <x v="0"/>
    <s v="VISANET 10 PAGOS"/>
    <s v="GTQ"/>
    <n v="3597"/>
    <m/>
    <m/>
    <m/>
    <n v="1"/>
    <n v="3597"/>
    <x v="0"/>
    <m/>
    <m/>
    <m/>
    <m/>
    <m/>
    <s v="MARTA HERMINIA DIAZ PINEDA"/>
    <s v="system"/>
  </r>
  <r>
    <n v="1.2513093969720199E+19"/>
    <s v="Union Comercial de Guatemala, S.A. - Banco de America Central, S.A."/>
    <x v="0"/>
    <n v="513"/>
    <n v="93"/>
    <x v="0"/>
    <n v="1816"/>
    <d v="2022-07-01T00:00:00"/>
    <x v="0"/>
    <s v="TARJETA"/>
    <s v="GTQ"/>
    <n v="229"/>
    <m/>
    <m/>
    <m/>
    <n v="1"/>
    <n v="229"/>
    <x v="0"/>
    <m/>
    <m/>
    <m/>
    <m/>
    <m/>
    <s v="MARTA HERMINIA DIAZ PINEDA"/>
    <s v="system"/>
  </r>
  <r>
    <n v="1.2513093968920199E+19"/>
    <s v="Union Comercial de Guatemala, S.A. - Banco G&amp;T Continental, S.A."/>
    <x v="0"/>
    <n v="513"/>
    <n v="93"/>
    <x v="0"/>
    <n v="840507"/>
    <d v="2022-07-01T00:00:00"/>
    <x v="0"/>
    <s v="TARJETA"/>
    <s v="GTQ"/>
    <n v="225"/>
    <m/>
    <m/>
    <m/>
    <n v="1"/>
    <n v="225"/>
    <x v="0"/>
    <m/>
    <m/>
    <m/>
    <m/>
    <m/>
    <s v="MARTA HERMINIA DIAZ PINEDA"/>
    <s v="system"/>
  </r>
  <r>
    <n v="1.2513093970420199E+19"/>
    <s v="Union Comercial de Guatemala, S.A. - Banco de America Central, S.A."/>
    <x v="0"/>
    <n v="513"/>
    <n v="93"/>
    <x v="0"/>
    <n v="997567"/>
    <d v="2022-07-01T00:00:00"/>
    <x v="0"/>
    <s v="TARJETA"/>
    <s v="GTQ"/>
    <n v="276"/>
    <m/>
    <m/>
    <m/>
    <n v="1"/>
    <n v="276"/>
    <x v="0"/>
    <m/>
    <m/>
    <m/>
    <m/>
    <m/>
    <s v="MARTA HERMINIA DIAZ PINEDA"/>
    <s v="system"/>
  </r>
  <r>
    <n v="1.25130939686202E+19"/>
    <s v="Union Comercial de Guatemala, S.A. - Banco G&amp;T Continental, S.A."/>
    <x v="0"/>
    <n v="513"/>
    <n v="93"/>
    <x v="0"/>
    <n v="184197"/>
    <d v="2022-07-01T00:00:00"/>
    <x v="0"/>
    <s v="TARJETA"/>
    <s v="GTQ"/>
    <n v="11246"/>
    <m/>
    <m/>
    <m/>
    <n v="1"/>
    <n v="11246"/>
    <x v="0"/>
    <m/>
    <m/>
    <m/>
    <m/>
    <m/>
    <s v="MARTA HERMINIA DIAZ PINEDA"/>
    <s v="system"/>
  </r>
  <r>
    <n v="1.25130939708202E+19"/>
    <s v="Union Comercial de Guatemala, S.A. - Banco de America Central, S.A."/>
    <x v="0"/>
    <n v="513"/>
    <n v="93"/>
    <x v="0"/>
    <n v="1820"/>
    <d v="2022-07-01T00:00:00"/>
    <x v="0"/>
    <s v="TARJETA"/>
    <s v="GTQ"/>
    <n v="717"/>
    <m/>
    <m/>
    <m/>
    <n v="1"/>
    <n v="717"/>
    <x v="0"/>
    <m/>
    <m/>
    <m/>
    <m/>
    <m/>
    <s v="MARTA HERMINIA DIAZ PINEDA"/>
    <s v="system"/>
  </r>
  <r>
    <n v="1.2513093968220201E+19"/>
    <s v="Union Comercial de Guatemala, S.A. - Banco de America Central, S.A."/>
    <x v="0"/>
    <n v="513"/>
    <n v="93"/>
    <x v="0"/>
    <n v="176404"/>
    <d v="2022-07-01T00:00:00"/>
    <x v="0"/>
    <s v="CREDOMATIC 10 PAGOS"/>
    <s v="GTQ"/>
    <n v="2197"/>
    <m/>
    <m/>
    <m/>
    <n v="1"/>
    <n v="2197"/>
    <x v="0"/>
    <m/>
    <m/>
    <m/>
    <m/>
    <m/>
    <s v="MARTA HERMINIA DIAZ PINEDA"/>
    <s v="system"/>
  </r>
  <r>
    <n v="1.25130939679202E+19"/>
    <s v="Union Comercial de Guatemala, S.A. - Banco de America Central, S.A."/>
    <x v="0"/>
    <n v="513"/>
    <n v="93"/>
    <x v="0"/>
    <n v="307592"/>
    <d v="2022-07-01T00:00:00"/>
    <x v="0"/>
    <s v="TARJETA"/>
    <s v="GTQ"/>
    <n v="744"/>
    <m/>
    <m/>
    <m/>
    <n v="1"/>
    <n v="744"/>
    <x v="0"/>
    <m/>
    <m/>
    <m/>
    <m/>
    <m/>
    <s v="MARTA HERMINIA DIAZ PINEDA"/>
    <s v="system"/>
  </r>
  <r>
    <n v="1.25130939692202E+19"/>
    <s v="Union Comercial de Guatemala, S.A. - Banco de America Central, S.A."/>
    <x v="0"/>
    <n v="513"/>
    <n v="93"/>
    <x v="0"/>
    <n v="668982"/>
    <d v="2022-07-01T00:00:00"/>
    <x v="0"/>
    <s v="TARJETA"/>
    <s v="GTQ"/>
    <n v="392"/>
    <m/>
    <m/>
    <m/>
    <n v="1"/>
    <n v="392"/>
    <x v="0"/>
    <m/>
    <m/>
    <m/>
    <m/>
    <m/>
    <s v="MARTA HERMINIA DIAZ PINEDA"/>
    <s v="system"/>
  </r>
  <r>
    <n v="1.2513093971220199E+19"/>
    <s v="Union Comercial de Guatemala, S.A. - Banco de America Central, S.A."/>
    <x v="0"/>
    <n v="513"/>
    <n v="93"/>
    <x v="0"/>
    <n v="232367"/>
    <d v="2022-07-01T00:00:00"/>
    <x v="0"/>
    <s v="TARJETA"/>
    <s v="GTQ"/>
    <n v="5946"/>
    <m/>
    <m/>
    <m/>
    <n v="1"/>
    <n v="5946"/>
    <x v="0"/>
    <m/>
    <m/>
    <m/>
    <m/>
    <m/>
    <s v="MARTA HERMINIA DIAZ PINEDA"/>
    <s v="system"/>
  </r>
  <r>
    <n v="1.2513093969820201E+19"/>
    <s v="Union Comercial de Guatemala, S.A. - Banco de America Central, S.A."/>
    <x v="0"/>
    <n v="513"/>
    <n v="93"/>
    <x v="0"/>
    <n v="1817"/>
    <d v="2022-07-01T00:00:00"/>
    <x v="0"/>
    <s v="TARJETA"/>
    <s v="GTQ"/>
    <n v="271"/>
    <m/>
    <m/>
    <m/>
    <n v="1"/>
    <n v="271"/>
    <x v="0"/>
    <m/>
    <m/>
    <m/>
    <m/>
    <m/>
    <s v="MARTA HERMINIA DIAZ PINEDA"/>
    <s v="system"/>
  </r>
  <r>
    <n v="1.2513093970620201E+19"/>
    <s v="Union Comercial de Guatemala, S.A. - Banco de America Central, S.A."/>
    <x v="0"/>
    <n v="513"/>
    <n v="93"/>
    <x v="0"/>
    <n v="22519"/>
    <d v="2022-07-01T00:00:00"/>
    <x v="0"/>
    <s v="TARJETA"/>
    <s v="GTQ"/>
    <n v="311"/>
    <m/>
    <m/>
    <m/>
    <n v="1"/>
    <n v="311"/>
    <x v="0"/>
    <m/>
    <m/>
    <m/>
    <m/>
    <m/>
    <s v="MARTA HERMINIA DIAZ PINEDA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d v="2022-07-01T00:00:00"/>
    <s v="CSH"/>
    <s v="12513000085220220729"/>
    <x v="0"/>
    <n v="12513"/>
    <x v="0"/>
    <n v="93"/>
    <s v="NOC"/>
    <x v="0"/>
    <n v="77776977"/>
    <s v="000-000908-4"/>
    <s v="Banco Industrial, S.A."/>
    <s v="GTQ"/>
    <n v="385.15"/>
    <m/>
    <m/>
    <m/>
    <n v="385.15"/>
    <m/>
    <n v="1"/>
    <n v="385.15"/>
    <m/>
    <m/>
    <m/>
    <s v="MARTA HERMINIA DIAZ PINEDA"/>
    <m/>
  </r>
  <r>
    <x v="1"/>
    <d v="2022-07-01T00:00:00"/>
    <s v="CSH"/>
    <s v="12513000085220220729"/>
    <x v="0"/>
    <n v="12513"/>
    <x v="0"/>
    <n v="93"/>
    <s v="NRGL"/>
    <x v="0"/>
    <n v="7298286"/>
    <s v="066-0030603-2"/>
    <s v="Banco G&amp;T C"/>
    <s v="GTQ"/>
    <n v="1712"/>
    <m/>
    <m/>
    <m/>
    <n v="1712"/>
    <m/>
    <n v="1"/>
    <n v="1712"/>
    <m/>
    <m/>
    <m/>
    <s v="MARTA HERMINIA DIAZ PINEDA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LA CURACAO"/>
    <x v="0"/>
    <x v="0"/>
    <n v="93"/>
    <x v="0"/>
    <n v="9694"/>
    <s v="12513093969420220729"/>
    <m/>
    <m/>
    <s v="B1B4549B3541779836"/>
    <m/>
    <s v="Factura Consumidor Final"/>
    <x v="0"/>
    <x v="0"/>
    <x v="0"/>
    <n v="50"/>
    <s v=""/>
    <s v=""/>
    <s v="UNION COMERCIAL DE GUATEMALA SA"/>
    <m/>
    <m/>
    <m/>
  </r>
  <r>
    <s v="LA CURACAO"/>
    <x v="0"/>
    <x v="0"/>
    <n v="93"/>
    <x v="0"/>
    <n v="9691"/>
    <s v="12513093969120220729"/>
    <m/>
    <m/>
    <s v="3C20F9121929661951"/>
    <m/>
    <s v="Factura Consumidor Final"/>
    <x v="0"/>
    <x v="0"/>
    <x v="0"/>
    <n v="25"/>
    <s v=""/>
    <s v=""/>
    <m/>
    <m/>
    <m/>
    <m/>
  </r>
  <r>
    <s v="LA CURACAO"/>
    <x v="0"/>
    <x v="0"/>
    <n v="93"/>
    <x v="0"/>
    <n v="9682"/>
    <s v="12513093968220220729"/>
    <m/>
    <m/>
    <s v="3EBC4C903615640335"/>
    <m/>
    <s v="Factura Consumidor Final"/>
    <x v="1"/>
    <x v="1"/>
    <x v="0"/>
    <n v="2197"/>
    <s v="125132092207T7"/>
    <s v=""/>
    <s v="CARLOS `  CRUZ  "/>
    <s v="BANCO DE AMÉRICA CENTRAL, S.A"/>
    <m/>
    <s v="Credomatic10Pagos"/>
  </r>
  <r>
    <s v="LA CURACAO"/>
    <x v="0"/>
    <x v="0"/>
    <n v="93"/>
    <x v="0"/>
    <n v="9690"/>
    <s v="12513093969020220729"/>
    <m/>
    <m/>
    <s v="DED729661066224551"/>
    <m/>
    <s v="Factura Consumidor Final"/>
    <x v="0"/>
    <x v="1"/>
    <x v="0"/>
    <n v="50"/>
    <s v=""/>
    <s v=""/>
    <m/>
    <s v="BANCO INDUSTRIAL, S.A.|000-063"/>
    <m/>
    <s v="Card"/>
  </r>
  <r>
    <s v="LA CURACAO"/>
    <x v="0"/>
    <x v="0"/>
    <n v="93"/>
    <x v="0"/>
    <n v="9712"/>
    <s v="12513093971220220729"/>
    <m/>
    <m/>
    <s v="102D790D3012775313"/>
    <m/>
    <s v="Factura Consumidor Final"/>
    <x v="1"/>
    <x v="1"/>
    <x v="0"/>
    <n v="5946"/>
    <s v="125132072209R2"/>
    <s v=""/>
    <s v="EDIX ANTONIO HERNANDEZ DEL CID"/>
    <s v="BANCO DE AMÉRICA CENTRAL, S.A"/>
    <m/>
    <s v="Card"/>
  </r>
  <r>
    <s v="LA CURACAO"/>
    <x v="0"/>
    <x v="0"/>
    <n v="93"/>
    <x v="0"/>
    <n v="9672"/>
    <s v="12513093967220220729"/>
    <m/>
    <m/>
    <s v="F28B6C3D606423240"/>
    <m/>
    <s v="Factura Consumidor Final"/>
    <x v="1"/>
    <x v="2"/>
    <x v="0"/>
    <n v="504"/>
    <s v="125132122203CJ"/>
    <s v=""/>
    <s v="JOSUE   RAMIREZ  "/>
    <m/>
    <m/>
    <m/>
  </r>
  <r>
    <s v="LA CURACAO"/>
    <x v="0"/>
    <x v="0"/>
    <n v="93"/>
    <x v="0"/>
    <n v="9669"/>
    <s v="12513093966920220729"/>
    <m/>
    <m/>
    <s v="92562D4D1210860165"/>
    <m/>
    <s v="Factura Consumidor Final"/>
    <x v="1"/>
    <x v="1"/>
    <x v="0"/>
    <n v="3597"/>
    <s v="12513206220CK9"/>
    <s v=""/>
    <s v="CARLOS   FANJUL  "/>
    <s v="BANCO INTERNACIONAL, S.A.|8100"/>
    <m/>
    <s v="Visanet10Pagos"/>
  </r>
  <r>
    <s v="LA CURACAO"/>
    <x v="0"/>
    <x v="0"/>
    <n v="93"/>
    <x v="0"/>
    <n v="9666"/>
    <s v="12513093966620220729"/>
    <m/>
    <m/>
    <s v="55B59129641548309"/>
    <m/>
    <s v="Factura Consumidor Final"/>
    <x v="1"/>
    <x v="1"/>
    <x v="0"/>
    <n v="2396"/>
    <s v="125132072209QR"/>
    <s v=""/>
    <s v="PABLO   MOLINA   "/>
    <s v="BANCO DE LOS TRABAJADORES"/>
    <m/>
    <s v="Visanet10Pagos"/>
  </r>
  <r>
    <s v="LA CURACAO"/>
    <x v="0"/>
    <x v="0"/>
    <n v="93"/>
    <x v="0"/>
    <n v="9685"/>
    <s v="12513093968520220729"/>
    <m/>
    <m/>
    <s v="0FD8A34C3600959944"/>
    <m/>
    <s v="Factura Consumidor Final"/>
    <x v="1"/>
    <x v="1"/>
    <x v="0"/>
    <n v="2355"/>
    <s v="125132092207T8"/>
    <s v=""/>
    <s v="MARIBEL   GIRON  "/>
    <s v="BANCO DE DESARROLLO RURAL, S.A"/>
    <m/>
    <s v="Card"/>
  </r>
  <r>
    <s v="LA CURACAO"/>
    <x v="0"/>
    <x v="0"/>
    <n v="93"/>
    <x v="0"/>
    <n v="9700"/>
    <s v="12513093970020220729"/>
    <m/>
    <m/>
    <s v="EE05DB1A2193377489"/>
    <m/>
    <s v="Factura Consumidor Final"/>
    <x v="0"/>
    <x v="0"/>
    <x v="0"/>
    <n v="10"/>
    <s v=""/>
    <s v=""/>
    <m/>
    <m/>
    <m/>
    <m/>
  </r>
  <r>
    <s v="LA CURACAO"/>
    <x v="0"/>
    <x v="0"/>
    <n v="93"/>
    <x v="0"/>
    <n v="9688"/>
    <s v="12513093968820220729"/>
    <m/>
    <m/>
    <s v="9C68002D1458523454"/>
    <m/>
    <s v="Factura Consumidor Final"/>
    <x v="1"/>
    <x v="0"/>
    <x v="0"/>
    <n v="277"/>
    <s v="125132092207T9"/>
    <s v=""/>
    <s v="FLORY   PEREZ  "/>
    <m/>
    <m/>
    <m/>
  </r>
  <r>
    <s v="LA CURACAO"/>
    <x v="0"/>
    <x v="0"/>
    <n v="93"/>
    <x v="0"/>
    <n v="9705"/>
    <s v="12513093970520220729"/>
    <m/>
    <m/>
    <s v="21A0A59B2668252215"/>
    <m/>
    <s v="Factura Consumidor Final"/>
    <x v="1"/>
    <x v="0"/>
    <x v="0"/>
    <n v="347"/>
    <s v="125132082208D5"/>
    <s v=""/>
    <s v="ERICK ROBERTO MIRANDA CHONAY"/>
    <m/>
    <m/>
    <m/>
  </r>
  <r>
    <s v="LA CURACAO"/>
    <x v="0"/>
    <x v="0"/>
    <n v="93"/>
    <x v="0"/>
    <n v="9686"/>
    <s v="12513093968620220729"/>
    <m/>
    <m/>
    <s v="FE95807F3319220778"/>
    <m/>
    <s v="Factura Consumidor Final"/>
    <x v="1"/>
    <x v="1"/>
    <x v="0"/>
    <n v="11246"/>
    <s v="12513206220CKC"/>
    <s v=""/>
    <s v="COMERCIAL    MODERNO  "/>
    <s v="BANCO INDUSTRIAL, S.A.|000-063"/>
    <m/>
    <s v="Card"/>
  </r>
  <r>
    <s v="LA CURACAO"/>
    <x v="0"/>
    <x v="0"/>
    <n v="93"/>
    <x v="0"/>
    <n v="9705"/>
    <s v="12513093970520220729"/>
    <m/>
    <m/>
    <s v="21A0A59B2668252215"/>
    <m/>
    <s v="Factura Consumidor Final"/>
    <x v="1"/>
    <x v="3"/>
    <x v="0"/>
    <n v="3450"/>
    <s v="125132082208D5"/>
    <s v=""/>
    <s v="ERICK ROBERTO MIRANDA CHONAY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0F82C-BFFF-473C-A387-DB8142304D88}" name="Tbl Dinamica Tarjetas" cacheId="1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293108-6C57-425E-B2AD-86C55A47AAA2}" name="Tbl Dinamica Depositos" cacheId="1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D8" firstHeaderRow="1" firstDataRow="2" firstDataCol="1"/>
  <pivotFields count="27">
    <pivotField axis="axisCol" showAll="0">
      <items count="3"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446FE-B637-467D-B064-F9134366AF63}" name="Tbl Dinamica Transaccional" cacheId="1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J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5">
        <item x="0"/>
        <item x="2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5">
    <i>
      <x/>
    </i>
    <i>
      <x v="1"/>
    </i>
    <i>
      <x v="2"/>
    </i>
    <i>
      <x v="3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8FBC0-5B44-44CF-B7A3-05B223FFFF9D}" name="Tabla4" displayName="Tabla4" ref="A1:R9" totalsRowShown="0">
  <autoFilter ref="A1:R9" xr:uid="{C8A8FBC0-5B44-44CF-B7A3-05B223FFFF9D}"/>
  <tableColumns count="18">
    <tableColumn id="1" xr3:uid="{C6438E36-AAC7-479E-BD14-9DE7F420FF9F}" name="TIENDA"/>
    <tableColumn id="2" xr3:uid="{B0B84E7C-C77D-4AC0-9D75-DB42AEF343C9}" name="CDA"/>
    <tableColumn id="3" xr3:uid="{8CE939C9-5A02-46FC-A726-49992A90FACF}" name="FECHA TRANSACCION"/>
    <tableColumn id="4" xr3:uid="{45A9420D-ECB9-43BA-83A7-9FC3984D0FFF}" name="TRANSACCIONES CAJA"/>
    <tableColumn id="5" xr3:uid="{8ED3DF87-C4A4-4A0A-ACB0-0156A1E2436E}" name="CODIGO DE RAZON"/>
    <tableColumn id="6" xr3:uid="{A4416D86-92E4-411E-A8E1-A49DB5389D5F}" name="Efectivo"/>
    <tableColumn id="7" xr3:uid="{573D7BE0-CEFA-43F7-BC0B-FCAD0985843D}" name="Pay pal"/>
    <tableColumn id="8" xr3:uid="{376C9BDA-899E-4941-A0A7-F857C18332E0}" name="Tarjeta de Credito"/>
    <tableColumn id="9" xr3:uid="{8AB02963-7C34-4C38-9400-B9C6C2E2D122}" name="Valor a Favor"/>
    <tableColumn id="10" xr3:uid="{D97A4F2B-B025-4BCF-9A4C-5B34968927C7}" name="Total general"/>
    <tableColumn id="11" xr3:uid="{2E43CE02-3D6D-4E7E-ABBB-AAB585B75686}" name="CIA"/>
    <tableColumn id="12" xr3:uid="{596CDF26-356F-4D04-A65F-277E54270329}" name="INHOUSE DEP-TC"/>
    <tableColumn id="13" xr3:uid="{EDCF6855-8BA1-4685-9E2E-84437CE1E0CD}" name="INGRESOS CORTE DE CAJA"/>
    <tableColumn id="14" xr3:uid="{BC336A86-9264-4631-9D45-C704035D64C2}" name="CIERRE P.O.S."/>
    <tableColumn id="15" xr3:uid="{A92CF532-B529-4FF0-A304-DF5E27E5797F}" name="VENTAS TC INTERNET"/>
    <tableColumn id="16" xr3:uid="{ED5911CB-13AB-4F0C-A034-82AD97AAE6AE}" name="VISALINK"/>
    <tableColumn id="17" xr3:uid="{B50734B9-D275-4576-A471-E10261DCA771}" name="TRASLADOS"/>
    <tableColumn id="18" xr3:uid="{0F55758F-AECC-4B84-B922-20A5E11D60B4}" name="DIFERENCIA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C48BDB-8302-4C3E-B725-D9958DACD71C}" name="Tabla1" displayName="Tabla1" ref="A1:Y19" totalsRowShown="0" headerRowDxfId="11" headerRowBorderDxfId="10" tableBorderDxfId="9">
  <autoFilter ref="A1:Y19" xr:uid="{88C48BDB-8302-4C3E-B725-D9958DACD71C}"/>
  <tableColumns count="25">
    <tableColumn id="1" xr3:uid="{D6190A6C-A6AD-4D69-B195-1210EF587115}" name="NÚMERO TRANSACCION"/>
    <tableColumn id="2" xr3:uid="{4967A8E4-A89F-4274-9178-89B890E916CF}" name="DESC CUENTA"/>
    <tableColumn id="3" xr3:uid="{18FE4184-4C97-4AFC-8BE9-DD078C2002DF}" name="CENTRO ANALISIS"/>
    <tableColumn id="4" xr3:uid="{53E06A4D-7BBB-4DF0-8B3D-613FEE713810}" name="RI"/>
    <tableColumn id="5" xr3:uid="{112B60D9-60BF-4E04-9A1E-5766F24F58B3}" name="NO CAJA"/>
    <tableColumn id="6" xr3:uid="{F1DF06FF-89C9-4433-90C8-3DA886B3CF9F}" name="DESC ALMACEN"/>
    <tableColumn id="7" xr3:uid="{26C0DDD5-6C3E-4BBD-9EC7-08DA0F15DB81}" name="REFERENCIA"/>
    <tableColumn id="8" xr3:uid="{5D5CE89A-A871-4AE4-BB42-93AB2506E47D}" name="PERIODO CONTABLE" dataDxfId="8"/>
    <tableColumn id="9" xr3:uid="{E0F896EC-4FAD-4C1B-BBB8-70B2F3AA0B27}" name="FECHA AUTORIZACIÓN"/>
    <tableColumn id="10" xr3:uid="{CF9A5707-05C6-4C57-8C15-559E312211DA}" name="TIPO PROMOCIÓN"/>
    <tableColumn id="11" xr3:uid="{8ACE9A6D-1B68-47D1-9714-33B95B8FDFFC}" name="MONEDA"/>
    <tableColumn id="12" xr3:uid="{0174D82C-22DE-4F75-8794-BCF42A03FDD0}" name="MONTO"/>
    <tableColumn id="13" xr3:uid="{6D066A04-9FEB-4DC1-81E2-BC3776FD5768}" name="NUMERO CONFIRMADO"/>
    <tableColumn id="14" xr3:uid="{EE2D81FC-71B8-44FC-9EAC-3346711718A1}" name="Monto Confirmado"/>
    <tableColumn id="15" xr3:uid="{169E9A05-5D27-4C82-85A0-721D81522DDB}" name="Diferencia"/>
    <tableColumn id="16" xr3:uid="{17862742-D263-42AF-885A-24B8A654FBA8}" name="TASA DE CAMBIO"/>
    <tableColumn id="17" xr3:uid="{87015BB5-E84C-471C-B8C9-9E1911D4B72B}" name="MONTO MNL"/>
    <tableColumn id="18" xr3:uid="{187C12D9-0C06-4E41-897F-F4AFC16864F8}" name="ESTADO"/>
    <tableColumn id="19" xr3:uid="{2F3A103B-951F-4948-9821-60C77322FA01}" name="FECHA BANCO"/>
    <tableColumn id="20" xr3:uid="{1919573D-391C-47A7-8210-2D3B1EC2E0A6}" name="NÚMERO DE DEPOSITO"/>
    <tableColumn id="21" xr3:uid="{EA0BBDDC-ABD4-4CF4-B6AC-1BCA2CA0D6B1}" name="NÚMERO CCF"/>
    <tableColumn id="22" xr3:uid="{AB9E07E3-4829-4FCB-BFD6-4D958293983B}" name="FECHA CONFIRMACION"/>
    <tableColumn id="23" xr3:uid="{0C19CEB0-208F-4BA9-80A3-07B743CE40C4}" name="FECHA CONTABLE"/>
    <tableColumn id="24" xr3:uid="{790E6382-9D74-4695-A4D7-A3988C87D259}" name="EMPLEADO"/>
    <tableColumn id="25" xr3:uid="{940D3B49-1F49-4B9B-A496-8ED90CA18BEB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9AE0B4-85AF-4B98-8032-1634AB99E248}" name="Tabla2" displayName="Tabla2" ref="A1:AA3" totalsRowShown="0" headerRowDxfId="7" headerRowBorderDxfId="6" tableBorderDxfId="5">
  <autoFilter ref="A1:AA3" xr:uid="{BD9AE0B4-85AF-4B98-8032-1634AB99E248}"/>
  <tableColumns count="27">
    <tableColumn id="1" xr3:uid="{0A6D084A-CCCE-4BB3-8053-FD483E1D655E}" name="Compañia"/>
    <tableColumn id="2" xr3:uid="{8C20D24C-98A2-4413-AA73-F172F9F7D306}" name="Período" dataDxfId="4"/>
    <tableColumn id="3" xr3:uid="{05A4D191-31D9-42EB-8581-9FFB59520448}" name="Tipo"/>
    <tableColumn id="4" xr3:uid="{BB3B4E6F-43C1-45DE-9C85-AC222572D1AD}" name="Número Transacción"/>
    <tableColumn id="5" xr3:uid="{7350B353-8C02-4F7C-BFE6-F7EBE337EA11}" name="Centro Analisis"/>
    <tableColumn id="6" xr3:uid="{3D02A3A4-2D5E-4E8D-B42C-91E57BD89E51}" name="Tienda"/>
    <tableColumn id="7" xr3:uid="{1B38465A-7D44-4E81-B284-7596859573EE}" name="Desc Almacen"/>
    <tableColumn id="8" xr3:uid="{4D96E18E-4627-4890-ADA5-AB199FE91EEF}" name="Caja"/>
    <tableColumn id="9" xr3:uid="{E0F2A41D-31B6-4E29-81EE-58345BE68417}" name="Estado"/>
    <tableColumn id="10" xr3:uid="{26855697-6FEA-4111-9C1B-B743DA006B65}" name="Fecha deposito"/>
    <tableColumn id="11" xr3:uid="{A422BC90-F04E-4F29-A477-F3FC5B028B0F}" name="Numero Deposito"/>
    <tableColumn id="12" xr3:uid="{EB374549-3F38-4B5D-B8F0-12DB740AEAE3}" name="Numero Cuenta"/>
    <tableColumn id="13" xr3:uid="{FBFA4D92-F4AE-4E7D-ADD3-B673625C7408}" name="Desc Cuenta"/>
    <tableColumn id="14" xr3:uid="{9B9368B7-A46D-422B-A0E7-1D2B251B7AB3}" name="Moneda"/>
    <tableColumn id="15" xr3:uid="{7CC63C60-D3CA-43CF-A1DE-5415DD829D41}" name="Monto"/>
    <tableColumn id="16" xr3:uid="{0D2C475D-25E2-4A05-9455-E52B2457E4CD}" name="Fecha Banco"/>
    <tableColumn id="17" xr3:uid="{84CF3503-2AB1-47FF-8BC7-499635B73128}" name="Número Déposito Confirmado"/>
    <tableColumn id="18" xr3:uid="{5A52A753-D277-4798-8359-7AFD8C1638C4}" name="Número Cuenta Confirmada"/>
    <tableColumn id="19" xr3:uid="{BBA44E20-98FE-4E3B-981D-F703F8C85B6B}" name="Monto Confirmado"/>
    <tableColumn id="20" xr3:uid="{E05CBCF5-9E5A-4502-A02D-D416B5C4739A}" name="Diferencia"/>
    <tableColumn id="21" xr3:uid="{70AC7C2E-7912-4AC6-9D2E-68F3DBD11FBF}" name="Tasa de Cambio"/>
    <tableColumn id="22" xr3:uid="{F84FC21A-240E-41AE-8E3B-55F68D87972D}" name="Monto MNL"/>
    <tableColumn id="23" xr3:uid="{BBB224CB-09D7-4A79-B1C1-58333DDA6E5D}" name="Motivo"/>
    <tableColumn id="24" xr3:uid="{AF8AF6CC-5609-45EB-8F9E-39337CB411A3}" name="Fecha confirmacion"/>
    <tableColumn id="25" xr3:uid="{133D1111-31D8-4F26-AB91-5EBA07AE27E8}" name="Fecha Contabilización"/>
    <tableColumn id="26" xr3:uid="{740DC1A3-52D5-4BAC-B5F3-586BABFF4708}" name="Empleado"/>
    <tableColumn id="27" xr3:uid="{FFA396A5-24CD-4A34-A6EA-794E5367D2EB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B0526-9D10-47C3-8B6E-F5C4B3B83024}" name="Tabla3" displayName="Tabla3" ref="A1:V15" totalsRowShown="0" headerRowDxfId="3" headerRowBorderDxfId="2" tableBorderDxfId="1">
  <autoFilter ref="A1:V15" xr:uid="{F6AB0526-9D10-47C3-8B6E-F5C4B3B83024}"/>
  <tableColumns count="22">
    <tableColumn id="1" xr3:uid="{9BEB52AC-C9C2-4F42-8DCC-BDB66B63A48E}" name="CADENA"/>
    <tableColumn id="2" xr3:uid="{5A6E79CA-1A20-42DB-997E-2485B5B31A37}" name="TIENDA"/>
    <tableColumn id="3" xr3:uid="{79FD71ED-E18C-43ED-9C5A-98C949281684}" name="CDA"/>
    <tableColumn id="4" xr3:uid="{8A593539-744B-448C-9DD4-F4EB4436592A}" name="CAJA"/>
    <tableColumn id="5" xr3:uid="{00C44019-4C0A-4C5E-988A-008EA61427F7}" name="FECHA TRANSACCION" dataDxfId="0"/>
    <tableColumn id="6" xr3:uid="{1A10A795-8A69-4D40-8D95-7012EA58B49D}" name="CORRELATIVO CAJA"/>
    <tableColumn id="7" xr3:uid="{51A1D003-65FC-4D76-B358-40E46DD12E68}" name="No. TRANSACCION"/>
    <tableColumn id="8" xr3:uid="{06F26CC2-5291-429B-ACFC-162FB9B77AD8}" name="TRANSACCION ORIGINAL (Devolución)"/>
    <tableColumn id="9" xr3:uid="{56883DDE-79E9-41DB-8A70-462E91F9EF8A}" name="TRANSACCIÓN CAJA ORIGINAL(Devolución)"/>
    <tableColumn id="10" xr3:uid="{FE312F1F-442E-4883-8949-293BD9935143}" name="No. DOCUMENTO"/>
    <tableColumn id="11" xr3:uid="{0972B77C-88B8-457A-91B2-0C8AD603E68A}" name="NUMERO DE SOLICITUD"/>
    <tableColumn id="12" xr3:uid="{F1367606-30C2-4DF1-9A7C-72F01F4C53B2}" name="TIPO DOCUMENTO"/>
    <tableColumn id="13" xr3:uid="{2A6AAE0A-6145-4494-965C-918CF66680D7}" name="TRANSACCIONES CAJA"/>
    <tableColumn id="14" xr3:uid="{8A201615-BCFB-44A0-B59C-6002CAC17230}" name="FORMA DE PAGO"/>
    <tableColumn id="15" xr3:uid="{B899E75D-B7D3-4047-9570-9E0A92524A6B}" name="CODIGO DE RAZON"/>
    <tableColumn id="16" xr3:uid="{1464EF78-3879-4DDA-BA96-318E549EF46D}" name="MONTO"/>
    <tableColumn id="17" xr3:uid="{5BD95C93-4A3D-4A50-86F2-75EF7FB56FC5}" name="NUM_COTIZACON"/>
    <tableColumn id="18" xr3:uid="{5ED0A27F-6A3F-434C-8984-BC034B4383A6}" name="NUM_CUENTA"/>
    <tableColumn id="19" xr3:uid="{CF899BDC-87B5-4ADF-B5E4-4CD3D44D4C54}" name="NOMBRE_CLIENTE"/>
    <tableColumn id="20" xr3:uid="{912D6B34-A6F5-448F-BB5A-C7318F3C7754}" name="BANCO"/>
    <tableColumn id="21" xr3:uid="{846EB76C-D9B0-41DB-94C9-2BA241D75F55}" name="AUTORIZACION"/>
    <tableColumn id="22" xr3:uid="{AC97DA95-CB38-4E21-A8A2-346D09050CAF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S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8" max="8" width="19" customWidth="1"/>
    <col min="9" max="9" width="14.5703125" customWidth="1"/>
    <col min="10" max="10" width="14.7109375" customWidth="1"/>
    <col min="12" max="12" width="18" customWidth="1"/>
    <col min="13" max="13" width="25.85546875" customWidth="1"/>
    <col min="14" max="14" width="14.85546875" customWidth="1"/>
    <col min="15" max="15" width="21.7109375" customWidth="1"/>
    <col min="17" max="17" width="13.42578125" customWidth="1"/>
    <col min="18" max="18" width="13.5703125" customWidth="1"/>
  </cols>
  <sheetData>
    <row r="1" spans="1:19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102</v>
      </c>
      <c r="G1" t="s">
        <v>125</v>
      </c>
      <c r="H1" t="s">
        <v>110</v>
      </c>
      <c r="I1" t="s">
        <v>158</v>
      </c>
      <c r="J1" t="s">
        <v>83</v>
      </c>
      <c r="K1" t="s">
        <v>165</v>
      </c>
      <c r="L1" t="s">
        <v>166</v>
      </c>
      <c r="M1" t="s">
        <v>167</v>
      </c>
      <c r="N1" t="s">
        <v>168</v>
      </c>
      <c r="O1" t="s">
        <v>169</v>
      </c>
      <c r="P1" t="s">
        <v>170</v>
      </c>
      <c r="Q1" t="s">
        <v>171</v>
      </c>
      <c r="R1" t="s">
        <v>172</v>
      </c>
      <c r="S1" t="s">
        <v>173</v>
      </c>
    </row>
    <row r="2" spans="1:19" x14ac:dyDescent="0.25">
      <c r="A2" t="s">
        <v>97</v>
      </c>
      <c r="B2">
        <v>50203</v>
      </c>
      <c r="C2" s="9">
        <v>44771</v>
      </c>
      <c r="D2" t="s">
        <v>109</v>
      </c>
      <c r="E2" t="s">
        <v>159</v>
      </c>
      <c r="F2">
        <v>624</v>
      </c>
      <c r="G2">
        <v>504</v>
      </c>
      <c r="H2">
        <v>27737</v>
      </c>
      <c r="I2">
        <v>3450</v>
      </c>
      <c r="J2">
        <v>32315</v>
      </c>
      <c r="K2" t="s">
        <v>86</v>
      </c>
    </row>
    <row r="3" spans="1:19" x14ac:dyDescent="0.25">
      <c r="A3" t="s">
        <v>97</v>
      </c>
      <c r="B3">
        <v>50203</v>
      </c>
      <c r="C3" s="9">
        <v>44771</v>
      </c>
      <c r="D3" t="s">
        <v>160</v>
      </c>
      <c r="F3">
        <v>624</v>
      </c>
      <c r="G3">
        <v>504</v>
      </c>
      <c r="H3">
        <v>27737</v>
      </c>
      <c r="I3">
        <v>3450</v>
      </c>
      <c r="J3">
        <v>32315</v>
      </c>
      <c r="K3" t="s">
        <v>174</v>
      </c>
    </row>
    <row r="4" spans="1:19" x14ac:dyDescent="0.25">
      <c r="A4" t="s">
        <v>97</v>
      </c>
      <c r="B4">
        <v>50203</v>
      </c>
      <c r="C4" s="9">
        <v>44771</v>
      </c>
      <c r="D4" t="s">
        <v>101</v>
      </c>
      <c r="E4" t="s">
        <v>159</v>
      </c>
      <c r="F4">
        <v>85</v>
      </c>
      <c r="H4">
        <v>50</v>
      </c>
      <c r="J4">
        <v>135</v>
      </c>
      <c r="K4" t="s">
        <v>175</v>
      </c>
    </row>
    <row r="5" spans="1:19" x14ac:dyDescent="0.25">
      <c r="A5" t="s">
        <v>97</v>
      </c>
      <c r="B5">
        <v>50203</v>
      </c>
      <c r="C5" s="9">
        <v>44771</v>
      </c>
      <c r="D5" t="s">
        <v>161</v>
      </c>
      <c r="F5">
        <v>85</v>
      </c>
      <c r="H5">
        <v>50</v>
      </c>
      <c r="J5">
        <v>135</v>
      </c>
    </row>
    <row r="6" spans="1:19" x14ac:dyDescent="0.25">
      <c r="A6" t="s">
        <v>97</v>
      </c>
      <c r="B6">
        <v>50203</v>
      </c>
      <c r="C6" t="s">
        <v>162</v>
      </c>
      <c r="F6">
        <v>709</v>
      </c>
      <c r="G6">
        <v>504</v>
      </c>
      <c r="H6">
        <v>27787</v>
      </c>
      <c r="I6">
        <v>3450</v>
      </c>
      <c r="J6">
        <v>32450</v>
      </c>
      <c r="K6" t="s">
        <v>176</v>
      </c>
    </row>
    <row r="7" spans="1:19" x14ac:dyDescent="0.25">
      <c r="A7" t="s">
        <v>97</v>
      </c>
      <c r="B7" t="s">
        <v>163</v>
      </c>
      <c r="F7">
        <v>709</v>
      </c>
      <c r="G7">
        <v>504</v>
      </c>
      <c r="H7">
        <v>27787</v>
      </c>
      <c r="I7">
        <v>3450</v>
      </c>
      <c r="J7">
        <v>32450</v>
      </c>
      <c r="K7" t="s">
        <v>86</v>
      </c>
    </row>
    <row r="8" spans="1:19" x14ac:dyDescent="0.25">
      <c r="A8" t="s">
        <v>164</v>
      </c>
      <c r="F8">
        <v>709</v>
      </c>
      <c r="G8">
        <v>504</v>
      </c>
      <c r="H8">
        <v>27787</v>
      </c>
      <c r="I8">
        <v>3450</v>
      </c>
      <c r="J8">
        <v>32450</v>
      </c>
      <c r="K8" t="s">
        <v>174</v>
      </c>
    </row>
    <row r="9" spans="1:19" x14ac:dyDescent="0.25">
      <c r="A9" t="s">
        <v>83</v>
      </c>
      <c r="F9">
        <v>709</v>
      </c>
      <c r="G9">
        <v>504</v>
      </c>
      <c r="H9">
        <v>27787</v>
      </c>
      <c r="I9">
        <v>3450</v>
      </c>
      <c r="J9">
        <v>32450</v>
      </c>
      <c r="K9" t="s">
        <v>175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ADBC-08FC-445D-B5F6-4A67F7FDC183}">
  <dimension ref="A3:C8"/>
  <sheetViews>
    <sheetView workbookViewId="0"/>
  </sheetViews>
  <sheetFormatPr baseColWidth="10" defaultRowHeight="15" x14ac:dyDescent="0.25"/>
  <cols>
    <col min="1" max="1" width="40.140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85</v>
      </c>
      <c r="B3" s="3" t="s">
        <v>82</v>
      </c>
    </row>
    <row r="4" spans="1:3" x14ac:dyDescent="0.25">
      <c r="A4" s="3" t="s">
        <v>84</v>
      </c>
      <c r="B4" t="s">
        <v>76</v>
      </c>
      <c r="C4" t="s">
        <v>83</v>
      </c>
    </row>
    <row r="5" spans="1:3" x14ac:dyDescent="0.25">
      <c r="A5" s="4">
        <v>50203</v>
      </c>
      <c r="B5" s="7">
        <v>36474</v>
      </c>
      <c r="C5" s="7">
        <v>36474</v>
      </c>
    </row>
    <row r="6" spans="1:3" x14ac:dyDescent="0.25">
      <c r="A6" s="5" t="s">
        <v>72</v>
      </c>
      <c r="B6" s="7">
        <v>36474</v>
      </c>
      <c r="C6" s="7">
        <v>36474</v>
      </c>
    </row>
    <row r="7" spans="1:3" x14ac:dyDescent="0.25">
      <c r="A7" s="6" t="s">
        <v>73</v>
      </c>
      <c r="B7" s="7">
        <v>36474</v>
      </c>
      <c r="C7" s="7">
        <v>36474</v>
      </c>
    </row>
    <row r="8" spans="1:3" x14ac:dyDescent="0.25">
      <c r="A8" s="4" t="s">
        <v>83</v>
      </c>
      <c r="B8" s="7">
        <v>36474</v>
      </c>
      <c r="C8" s="7">
        <v>36474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9"/>
  <sheetViews>
    <sheetView workbookViewId="0">
      <selection sqref="A1:Y19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1.25130939685202E+19</v>
      </c>
      <c r="B2" t="s">
        <v>71</v>
      </c>
      <c r="C2">
        <v>50203</v>
      </c>
      <c r="D2">
        <v>513</v>
      </c>
      <c r="E2">
        <v>93</v>
      </c>
      <c r="F2" t="s">
        <v>72</v>
      </c>
      <c r="G2">
        <v>860402</v>
      </c>
      <c r="H2" s="1">
        <v>44743</v>
      </c>
      <c r="I2" t="s">
        <v>73</v>
      </c>
      <c r="J2" t="s">
        <v>74</v>
      </c>
      <c r="K2" t="s">
        <v>75</v>
      </c>
      <c r="L2">
        <v>2355</v>
      </c>
      <c r="P2">
        <v>1</v>
      </c>
      <c r="Q2">
        <v>2355</v>
      </c>
      <c r="R2" t="s">
        <v>76</v>
      </c>
      <c r="X2" t="s">
        <v>77</v>
      </c>
      <c r="Y2" t="s">
        <v>78</v>
      </c>
    </row>
    <row r="3" spans="1:25" x14ac:dyDescent="0.25">
      <c r="A3">
        <v>1.2513093969020201E+19</v>
      </c>
      <c r="B3" t="s">
        <v>71</v>
      </c>
      <c r="C3">
        <v>50203</v>
      </c>
      <c r="D3">
        <v>513</v>
      </c>
      <c r="E3">
        <v>93</v>
      </c>
      <c r="F3" t="s">
        <v>72</v>
      </c>
      <c r="G3">
        <v>223125</v>
      </c>
      <c r="H3" s="1">
        <v>44743</v>
      </c>
      <c r="I3" t="s">
        <v>73</v>
      </c>
      <c r="J3" t="s">
        <v>74</v>
      </c>
      <c r="K3" t="s">
        <v>75</v>
      </c>
      <c r="L3">
        <v>50</v>
      </c>
      <c r="P3">
        <v>1</v>
      </c>
      <c r="Q3">
        <v>50</v>
      </c>
      <c r="R3" t="s">
        <v>76</v>
      </c>
      <c r="X3" t="s">
        <v>77</v>
      </c>
      <c r="Y3" t="s">
        <v>78</v>
      </c>
    </row>
    <row r="4" spans="1:25" x14ac:dyDescent="0.25">
      <c r="A4">
        <v>1.25130939671202E+19</v>
      </c>
      <c r="B4" t="s">
        <v>79</v>
      </c>
      <c r="C4">
        <v>50203</v>
      </c>
      <c r="D4">
        <v>513</v>
      </c>
      <c r="E4">
        <v>93</v>
      </c>
      <c r="F4" t="s">
        <v>72</v>
      </c>
      <c r="G4">
        <v>103420</v>
      </c>
      <c r="H4" s="1">
        <v>44743</v>
      </c>
      <c r="I4" t="s">
        <v>73</v>
      </c>
      <c r="J4" t="s">
        <v>74</v>
      </c>
      <c r="K4" t="s">
        <v>75</v>
      </c>
      <c r="L4">
        <v>4804</v>
      </c>
      <c r="P4">
        <v>1</v>
      </c>
      <c r="Q4">
        <v>4804</v>
      </c>
      <c r="R4" t="s">
        <v>76</v>
      </c>
      <c r="X4" t="s">
        <v>77</v>
      </c>
      <c r="Y4" t="s">
        <v>78</v>
      </c>
    </row>
    <row r="5" spans="1:25" x14ac:dyDescent="0.25">
      <c r="A5">
        <v>1.25130939678202E+19</v>
      </c>
      <c r="B5" t="s">
        <v>79</v>
      </c>
      <c r="C5">
        <v>50203</v>
      </c>
      <c r="D5">
        <v>513</v>
      </c>
      <c r="E5">
        <v>93</v>
      </c>
      <c r="F5" t="s">
        <v>72</v>
      </c>
      <c r="G5">
        <v>307592</v>
      </c>
      <c r="H5" s="1">
        <v>44743</v>
      </c>
      <c r="I5" t="s">
        <v>73</v>
      </c>
      <c r="J5" t="s">
        <v>74</v>
      </c>
      <c r="K5" t="s">
        <v>75</v>
      </c>
      <c r="L5">
        <v>146</v>
      </c>
      <c r="P5">
        <v>1</v>
      </c>
      <c r="Q5">
        <v>146</v>
      </c>
      <c r="R5" t="s">
        <v>76</v>
      </c>
      <c r="X5" t="s">
        <v>77</v>
      </c>
      <c r="Y5" t="s">
        <v>78</v>
      </c>
    </row>
    <row r="6" spans="1:25" x14ac:dyDescent="0.25">
      <c r="A6">
        <v>1.25130939709202E+19</v>
      </c>
      <c r="B6" t="s">
        <v>79</v>
      </c>
      <c r="C6">
        <v>50203</v>
      </c>
      <c r="D6">
        <v>513</v>
      </c>
      <c r="E6">
        <v>93</v>
      </c>
      <c r="F6" t="s">
        <v>72</v>
      </c>
      <c r="G6">
        <v>1821</v>
      </c>
      <c r="H6" s="1">
        <v>44743</v>
      </c>
      <c r="I6" t="s">
        <v>73</v>
      </c>
      <c r="J6" t="s">
        <v>74</v>
      </c>
      <c r="K6" t="s">
        <v>75</v>
      </c>
      <c r="L6">
        <v>572</v>
      </c>
      <c r="P6">
        <v>1</v>
      </c>
      <c r="Q6">
        <v>572</v>
      </c>
      <c r="R6" t="s">
        <v>76</v>
      </c>
      <c r="X6" t="s">
        <v>77</v>
      </c>
      <c r="Y6" t="s">
        <v>78</v>
      </c>
    </row>
    <row r="7" spans="1:25" x14ac:dyDescent="0.25">
      <c r="A7">
        <v>1.2513093966620201E+19</v>
      </c>
      <c r="B7" t="s">
        <v>71</v>
      </c>
      <c r="C7">
        <v>50203</v>
      </c>
      <c r="D7">
        <v>513</v>
      </c>
      <c r="E7">
        <v>93</v>
      </c>
      <c r="F7" t="s">
        <v>72</v>
      </c>
      <c r="G7">
        <v>307157</v>
      </c>
      <c r="H7" s="1">
        <v>44743</v>
      </c>
      <c r="I7" t="s">
        <v>73</v>
      </c>
      <c r="J7" t="s">
        <v>80</v>
      </c>
      <c r="K7" t="s">
        <v>75</v>
      </c>
      <c r="L7">
        <v>2396</v>
      </c>
      <c r="P7">
        <v>1</v>
      </c>
      <c r="Q7">
        <v>2396</v>
      </c>
      <c r="R7" t="s">
        <v>76</v>
      </c>
      <c r="X7" t="s">
        <v>77</v>
      </c>
      <c r="Y7" t="s">
        <v>78</v>
      </c>
    </row>
    <row r="8" spans="1:25" x14ac:dyDescent="0.25">
      <c r="A8">
        <v>1.25130939669202E+19</v>
      </c>
      <c r="B8" t="s">
        <v>71</v>
      </c>
      <c r="C8">
        <v>50203</v>
      </c>
      <c r="D8">
        <v>513</v>
      </c>
      <c r="E8">
        <v>93</v>
      </c>
      <c r="F8" t="s">
        <v>72</v>
      </c>
      <c r="G8">
        <v>1241</v>
      </c>
      <c r="H8" s="1">
        <v>44743</v>
      </c>
      <c r="I8" t="s">
        <v>73</v>
      </c>
      <c r="J8" t="s">
        <v>80</v>
      </c>
      <c r="K8" t="s">
        <v>75</v>
      </c>
      <c r="L8">
        <v>3597</v>
      </c>
      <c r="P8">
        <v>1</v>
      </c>
      <c r="Q8">
        <v>3597</v>
      </c>
      <c r="R8" t="s">
        <v>76</v>
      </c>
      <c r="X8" t="s">
        <v>77</v>
      </c>
      <c r="Y8" t="s">
        <v>78</v>
      </c>
    </row>
    <row r="9" spans="1:25" x14ac:dyDescent="0.25">
      <c r="A9">
        <v>1.2513093969720199E+19</v>
      </c>
      <c r="B9" t="s">
        <v>79</v>
      </c>
      <c r="C9">
        <v>50203</v>
      </c>
      <c r="D9">
        <v>513</v>
      </c>
      <c r="E9">
        <v>93</v>
      </c>
      <c r="F9" t="s">
        <v>72</v>
      </c>
      <c r="G9">
        <v>1816</v>
      </c>
      <c r="H9" s="1">
        <v>44743</v>
      </c>
      <c r="I9" t="s">
        <v>73</v>
      </c>
      <c r="J9" t="s">
        <v>74</v>
      </c>
      <c r="K9" t="s">
        <v>75</v>
      </c>
      <c r="L9">
        <v>229</v>
      </c>
      <c r="P9">
        <v>1</v>
      </c>
      <c r="Q9">
        <v>229</v>
      </c>
      <c r="R9" t="s">
        <v>76</v>
      </c>
      <c r="X9" t="s">
        <v>77</v>
      </c>
      <c r="Y9" t="s">
        <v>78</v>
      </c>
    </row>
    <row r="10" spans="1:25" x14ac:dyDescent="0.25">
      <c r="A10">
        <v>1.2513093968920199E+19</v>
      </c>
      <c r="B10" t="s">
        <v>71</v>
      </c>
      <c r="C10">
        <v>50203</v>
      </c>
      <c r="D10">
        <v>513</v>
      </c>
      <c r="E10">
        <v>93</v>
      </c>
      <c r="F10" t="s">
        <v>72</v>
      </c>
      <c r="G10">
        <v>840507</v>
      </c>
      <c r="H10" s="1">
        <v>44743</v>
      </c>
      <c r="I10" t="s">
        <v>73</v>
      </c>
      <c r="J10" t="s">
        <v>74</v>
      </c>
      <c r="K10" t="s">
        <v>75</v>
      </c>
      <c r="L10">
        <v>225</v>
      </c>
      <c r="P10">
        <v>1</v>
      </c>
      <c r="Q10">
        <v>225</v>
      </c>
      <c r="R10" t="s">
        <v>76</v>
      </c>
      <c r="X10" t="s">
        <v>77</v>
      </c>
      <c r="Y10" t="s">
        <v>78</v>
      </c>
    </row>
    <row r="11" spans="1:25" x14ac:dyDescent="0.25">
      <c r="A11">
        <v>1.2513093970420199E+19</v>
      </c>
      <c r="B11" t="s">
        <v>79</v>
      </c>
      <c r="C11">
        <v>50203</v>
      </c>
      <c r="D11">
        <v>513</v>
      </c>
      <c r="E11">
        <v>93</v>
      </c>
      <c r="F11" t="s">
        <v>72</v>
      </c>
      <c r="G11">
        <v>997567</v>
      </c>
      <c r="H11" s="1">
        <v>44743</v>
      </c>
      <c r="I11" t="s">
        <v>73</v>
      </c>
      <c r="J11" t="s">
        <v>74</v>
      </c>
      <c r="K11" t="s">
        <v>75</v>
      </c>
      <c r="L11">
        <v>276</v>
      </c>
      <c r="P11">
        <v>1</v>
      </c>
      <c r="Q11">
        <v>276</v>
      </c>
      <c r="R11" t="s">
        <v>76</v>
      </c>
      <c r="X11" t="s">
        <v>77</v>
      </c>
      <c r="Y11" t="s">
        <v>78</v>
      </c>
    </row>
    <row r="12" spans="1:25" x14ac:dyDescent="0.25">
      <c r="A12">
        <v>1.25130939686202E+19</v>
      </c>
      <c r="B12" t="s">
        <v>71</v>
      </c>
      <c r="C12">
        <v>50203</v>
      </c>
      <c r="D12">
        <v>513</v>
      </c>
      <c r="E12">
        <v>93</v>
      </c>
      <c r="F12" t="s">
        <v>72</v>
      </c>
      <c r="G12">
        <v>184197</v>
      </c>
      <c r="H12" s="1">
        <v>44743</v>
      </c>
      <c r="I12" t="s">
        <v>73</v>
      </c>
      <c r="J12" t="s">
        <v>74</v>
      </c>
      <c r="K12" t="s">
        <v>75</v>
      </c>
      <c r="L12">
        <v>11246</v>
      </c>
      <c r="P12">
        <v>1</v>
      </c>
      <c r="Q12">
        <v>11246</v>
      </c>
      <c r="R12" t="s">
        <v>76</v>
      </c>
      <c r="X12" t="s">
        <v>77</v>
      </c>
      <c r="Y12" t="s">
        <v>78</v>
      </c>
    </row>
    <row r="13" spans="1:25" x14ac:dyDescent="0.25">
      <c r="A13">
        <v>1.25130939708202E+19</v>
      </c>
      <c r="B13" t="s">
        <v>79</v>
      </c>
      <c r="C13">
        <v>50203</v>
      </c>
      <c r="D13">
        <v>513</v>
      </c>
      <c r="E13">
        <v>93</v>
      </c>
      <c r="F13" t="s">
        <v>72</v>
      </c>
      <c r="G13">
        <v>1820</v>
      </c>
      <c r="H13" s="1">
        <v>44743</v>
      </c>
      <c r="I13" t="s">
        <v>73</v>
      </c>
      <c r="J13" t="s">
        <v>74</v>
      </c>
      <c r="K13" t="s">
        <v>75</v>
      </c>
      <c r="L13">
        <v>717</v>
      </c>
      <c r="P13">
        <v>1</v>
      </c>
      <c r="Q13">
        <v>717</v>
      </c>
      <c r="R13" t="s">
        <v>76</v>
      </c>
      <c r="X13" t="s">
        <v>77</v>
      </c>
      <c r="Y13" t="s">
        <v>78</v>
      </c>
    </row>
    <row r="14" spans="1:25" x14ac:dyDescent="0.25">
      <c r="A14">
        <v>1.2513093968220201E+19</v>
      </c>
      <c r="B14" t="s">
        <v>79</v>
      </c>
      <c r="C14">
        <v>50203</v>
      </c>
      <c r="D14">
        <v>513</v>
      </c>
      <c r="E14">
        <v>93</v>
      </c>
      <c r="F14" t="s">
        <v>72</v>
      </c>
      <c r="G14">
        <v>176404</v>
      </c>
      <c r="H14" s="1">
        <v>44743</v>
      </c>
      <c r="I14" t="s">
        <v>73</v>
      </c>
      <c r="J14" t="s">
        <v>81</v>
      </c>
      <c r="K14" t="s">
        <v>75</v>
      </c>
      <c r="L14">
        <v>2197</v>
      </c>
      <c r="P14">
        <v>1</v>
      </c>
      <c r="Q14">
        <v>2197</v>
      </c>
      <c r="R14" t="s">
        <v>76</v>
      </c>
      <c r="X14" t="s">
        <v>77</v>
      </c>
      <c r="Y14" t="s">
        <v>78</v>
      </c>
    </row>
    <row r="15" spans="1:25" x14ac:dyDescent="0.25">
      <c r="A15">
        <v>1.25130939679202E+19</v>
      </c>
      <c r="B15" t="s">
        <v>79</v>
      </c>
      <c r="C15">
        <v>50203</v>
      </c>
      <c r="D15">
        <v>513</v>
      </c>
      <c r="E15">
        <v>93</v>
      </c>
      <c r="F15" t="s">
        <v>72</v>
      </c>
      <c r="G15">
        <v>307592</v>
      </c>
      <c r="H15" s="1">
        <v>44743</v>
      </c>
      <c r="I15" t="s">
        <v>73</v>
      </c>
      <c r="J15" t="s">
        <v>74</v>
      </c>
      <c r="K15" t="s">
        <v>75</v>
      </c>
      <c r="L15">
        <v>744</v>
      </c>
      <c r="P15">
        <v>1</v>
      </c>
      <c r="Q15">
        <v>744</v>
      </c>
      <c r="R15" t="s">
        <v>76</v>
      </c>
      <c r="X15" t="s">
        <v>77</v>
      </c>
      <c r="Y15" t="s">
        <v>78</v>
      </c>
    </row>
    <row r="16" spans="1:25" x14ac:dyDescent="0.25">
      <c r="A16">
        <v>1.25130939692202E+19</v>
      </c>
      <c r="B16" t="s">
        <v>79</v>
      </c>
      <c r="C16">
        <v>50203</v>
      </c>
      <c r="D16">
        <v>513</v>
      </c>
      <c r="E16">
        <v>93</v>
      </c>
      <c r="F16" t="s">
        <v>72</v>
      </c>
      <c r="G16">
        <v>668982</v>
      </c>
      <c r="H16" s="1">
        <v>44743</v>
      </c>
      <c r="I16" t="s">
        <v>73</v>
      </c>
      <c r="J16" t="s">
        <v>74</v>
      </c>
      <c r="K16" t="s">
        <v>75</v>
      </c>
      <c r="L16">
        <v>392</v>
      </c>
      <c r="P16">
        <v>1</v>
      </c>
      <c r="Q16">
        <v>392</v>
      </c>
      <c r="R16" t="s">
        <v>76</v>
      </c>
      <c r="X16" t="s">
        <v>77</v>
      </c>
      <c r="Y16" t="s">
        <v>78</v>
      </c>
    </row>
    <row r="17" spans="1:25" x14ac:dyDescent="0.25">
      <c r="A17">
        <v>1.2513093971220199E+19</v>
      </c>
      <c r="B17" t="s">
        <v>79</v>
      </c>
      <c r="C17">
        <v>50203</v>
      </c>
      <c r="D17">
        <v>513</v>
      </c>
      <c r="E17">
        <v>93</v>
      </c>
      <c r="F17" t="s">
        <v>72</v>
      </c>
      <c r="G17">
        <v>232367</v>
      </c>
      <c r="H17" s="1">
        <v>44743</v>
      </c>
      <c r="I17" t="s">
        <v>73</v>
      </c>
      <c r="J17" t="s">
        <v>74</v>
      </c>
      <c r="K17" t="s">
        <v>75</v>
      </c>
      <c r="L17">
        <v>5946</v>
      </c>
      <c r="P17">
        <v>1</v>
      </c>
      <c r="Q17">
        <v>5946</v>
      </c>
      <c r="R17" t="s">
        <v>76</v>
      </c>
      <c r="X17" t="s">
        <v>77</v>
      </c>
      <c r="Y17" t="s">
        <v>78</v>
      </c>
    </row>
    <row r="18" spans="1:25" x14ac:dyDescent="0.25">
      <c r="A18">
        <v>1.2513093969820201E+19</v>
      </c>
      <c r="B18" t="s">
        <v>79</v>
      </c>
      <c r="C18">
        <v>50203</v>
      </c>
      <c r="D18">
        <v>513</v>
      </c>
      <c r="E18">
        <v>93</v>
      </c>
      <c r="F18" t="s">
        <v>72</v>
      </c>
      <c r="G18">
        <v>1817</v>
      </c>
      <c r="H18" s="1">
        <v>44743</v>
      </c>
      <c r="I18" t="s">
        <v>73</v>
      </c>
      <c r="J18" t="s">
        <v>74</v>
      </c>
      <c r="K18" t="s">
        <v>75</v>
      </c>
      <c r="L18">
        <v>271</v>
      </c>
      <c r="P18">
        <v>1</v>
      </c>
      <c r="Q18">
        <v>271</v>
      </c>
      <c r="R18" t="s">
        <v>76</v>
      </c>
      <c r="X18" t="s">
        <v>77</v>
      </c>
      <c r="Y18" t="s">
        <v>78</v>
      </c>
    </row>
    <row r="19" spans="1:25" x14ac:dyDescent="0.25">
      <c r="A19">
        <v>1.2513093970620201E+19</v>
      </c>
      <c r="B19" t="s">
        <v>79</v>
      </c>
      <c r="C19">
        <v>50203</v>
      </c>
      <c r="D19">
        <v>513</v>
      </c>
      <c r="E19">
        <v>93</v>
      </c>
      <c r="F19" t="s">
        <v>72</v>
      </c>
      <c r="G19">
        <v>22519</v>
      </c>
      <c r="H19" s="1">
        <v>44743</v>
      </c>
      <c r="I19" t="s">
        <v>73</v>
      </c>
      <c r="J19" t="s">
        <v>74</v>
      </c>
      <c r="K19" t="s">
        <v>75</v>
      </c>
      <c r="L19">
        <v>311</v>
      </c>
      <c r="P19">
        <v>1</v>
      </c>
      <c r="Q19">
        <v>311</v>
      </c>
      <c r="R19" t="s">
        <v>76</v>
      </c>
      <c r="X19" t="s">
        <v>77</v>
      </c>
      <c r="Y19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9685-23DF-4620-8049-28693788A5C4}">
  <dimension ref="A3:D8"/>
  <sheetViews>
    <sheetView workbookViewId="0"/>
  </sheetViews>
  <sheetFormatPr baseColWidth="10" defaultRowHeight="15" x14ac:dyDescent="0.25"/>
  <cols>
    <col min="1" max="1" width="40.140625" bestFit="1" customWidth="1"/>
    <col min="2" max="2" width="27.5703125" bestFit="1" customWidth="1"/>
    <col min="3" max="3" width="12" bestFit="1" customWidth="1"/>
    <col min="4" max="4" width="12.5703125" bestFit="1" customWidth="1"/>
  </cols>
  <sheetData>
    <row r="3" spans="1:4" x14ac:dyDescent="0.25">
      <c r="A3" s="3" t="s">
        <v>95</v>
      </c>
      <c r="B3" s="3" t="s">
        <v>82</v>
      </c>
    </row>
    <row r="4" spans="1:4" x14ac:dyDescent="0.25">
      <c r="A4" s="3" t="s">
        <v>84</v>
      </c>
      <c r="B4" t="s">
        <v>91</v>
      </c>
      <c r="C4" t="s">
        <v>86</v>
      </c>
      <c r="D4" t="s">
        <v>83</v>
      </c>
    </row>
    <row r="5" spans="1:4" x14ac:dyDescent="0.25">
      <c r="A5" s="4">
        <v>50203</v>
      </c>
      <c r="B5" s="7">
        <v>1712</v>
      </c>
      <c r="C5" s="7">
        <v>385.15</v>
      </c>
      <c r="D5" s="7">
        <v>2097.15</v>
      </c>
    </row>
    <row r="6" spans="1:4" x14ac:dyDescent="0.25">
      <c r="A6" s="5" t="s">
        <v>72</v>
      </c>
      <c r="B6" s="7">
        <v>1712</v>
      </c>
      <c r="C6" s="7">
        <v>385.15</v>
      </c>
      <c r="D6" s="7">
        <v>2097.15</v>
      </c>
    </row>
    <row r="7" spans="1:4" x14ac:dyDescent="0.25">
      <c r="A7" s="6" t="s">
        <v>73</v>
      </c>
      <c r="B7" s="7">
        <v>1712</v>
      </c>
      <c r="C7" s="7">
        <v>385.15</v>
      </c>
      <c r="D7" s="7">
        <v>2097.15</v>
      </c>
    </row>
    <row r="8" spans="1:4" x14ac:dyDescent="0.25">
      <c r="A8" s="4" t="s">
        <v>83</v>
      </c>
      <c r="B8" s="7">
        <v>1712</v>
      </c>
      <c r="C8" s="7">
        <v>385.15</v>
      </c>
      <c r="D8" s="7">
        <v>2097.15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3"/>
  <sheetViews>
    <sheetView workbookViewId="0">
      <selection sqref="A1:AA3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86</v>
      </c>
      <c r="B2" s="1">
        <v>44743</v>
      </c>
      <c r="C2" t="s">
        <v>87</v>
      </c>
      <c r="D2" s="8" t="s">
        <v>88</v>
      </c>
      <c r="E2">
        <v>50203</v>
      </c>
      <c r="F2">
        <v>12513</v>
      </c>
      <c r="G2" t="s">
        <v>72</v>
      </c>
      <c r="H2">
        <v>93</v>
      </c>
      <c r="I2" t="s">
        <v>76</v>
      </c>
      <c r="J2" t="s">
        <v>73</v>
      </c>
      <c r="K2">
        <v>77776977</v>
      </c>
      <c r="L2" t="s">
        <v>89</v>
      </c>
      <c r="M2" t="s">
        <v>90</v>
      </c>
      <c r="N2" t="s">
        <v>75</v>
      </c>
      <c r="O2">
        <v>385.15</v>
      </c>
      <c r="S2">
        <v>385.15</v>
      </c>
      <c r="U2">
        <v>1</v>
      </c>
      <c r="V2">
        <v>385.15</v>
      </c>
      <c r="Z2" t="s">
        <v>77</v>
      </c>
    </row>
    <row r="3" spans="1:27" x14ac:dyDescent="0.25">
      <c r="A3" t="s">
        <v>91</v>
      </c>
      <c r="B3" s="1">
        <v>44743</v>
      </c>
      <c r="C3" t="s">
        <v>87</v>
      </c>
      <c r="D3" s="8" t="s">
        <v>88</v>
      </c>
      <c r="E3">
        <v>50203</v>
      </c>
      <c r="F3">
        <v>12513</v>
      </c>
      <c r="G3" t="s">
        <v>72</v>
      </c>
      <c r="H3">
        <v>93</v>
      </c>
      <c r="I3" t="s">
        <v>92</v>
      </c>
      <c r="J3" t="s">
        <v>73</v>
      </c>
      <c r="K3">
        <v>7298286</v>
      </c>
      <c r="L3" t="s">
        <v>93</v>
      </c>
      <c r="M3" t="s">
        <v>94</v>
      </c>
      <c r="N3" t="s">
        <v>75</v>
      </c>
      <c r="O3">
        <v>1712</v>
      </c>
      <c r="S3">
        <v>1712</v>
      </c>
      <c r="U3">
        <v>1</v>
      </c>
      <c r="V3">
        <v>1712</v>
      </c>
      <c r="Z3" t="s">
        <v>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4EE9-B4D9-4DF0-9EE2-0FA89E0BE8E5}">
  <dimension ref="A3:J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7.28515625" bestFit="1" customWidth="1"/>
    <col min="4" max="4" width="17" bestFit="1" customWidth="1"/>
    <col min="5" max="5" width="20.140625" bestFit="1" customWidth="1"/>
    <col min="6" max="9" width="18.5703125" bestFit="1" customWidth="1"/>
    <col min="10" max="10" width="12.5703125" bestFit="1" customWidth="1"/>
  </cols>
  <sheetData>
    <row r="3" spans="1:10" x14ac:dyDescent="0.25">
      <c r="A3" s="3" t="s">
        <v>85</v>
      </c>
      <c r="F3" s="3" t="s">
        <v>63</v>
      </c>
    </row>
    <row r="4" spans="1:10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102</v>
      </c>
      <c r="G4" t="s">
        <v>125</v>
      </c>
      <c r="H4" t="s">
        <v>110</v>
      </c>
      <c r="I4" t="s">
        <v>158</v>
      </c>
      <c r="J4" t="s">
        <v>83</v>
      </c>
    </row>
    <row r="5" spans="1:10" x14ac:dyDescent="0.25">
      <c r="A5" t="s">
        <v>97</v>
      </c>
      <c r="B5">
        <v>50203</v>
      </c>
      <c r="C5" s="9">
        <v>44771</v>
      </c>
      <c r="D5" t="s">
        <v>109</v>
      </c>
      <c r="E5" t="s">
        <v>159</v>
      </c>
      <c r="F5" s="7">
        <v>624</v>
      </c>
      <c r="G5" s="7">
        <v>504</v>
      </c>
      <c r="H5" s="7">
        <v>27737</v>
      </c>
      <c r="I5" s="7">
        <v>3450</v>
      </c>
      <c r="J5" s="7">
        <v>32315</v>
      </c>
    </row>
    <row r="6" spans="1:10" x14ac:dyDescent="0.25">
      <c r="A6" t="s">
        <v>97</v>
      </c>
      <c r="B6">
        <v>50203</v>
      </c>
      <c r="C6" s="9">
        <v>44771</v>
      </c>
      <c r="D6" t="s">
        <v>160</v>
      </c>
      <c r="F6" s="7">
        <v>624</v>
      </c>
      <c r="G6" s="7">
        <v>504</v>
      </c>
      <c r="H6" s="7">
        <v>27737</v>
      </c>
      <c r="I6" s="7">
        <v>3450</v>
      </c>
      <c r="J6" s="7">
        <v>32315</v>
      </c>
    </row>
    <row r="7" spans="1:10" x14ac:dyDescent="0.25">
      <c r="A7" t="s">
        <v>97</v>
      </c>
      <c r="B7">
        <v>50203</v>
      </c>
      <c r="C7" s="9">
        <v>44771</v>
      </c>
      <c r="D7" t="s">
        <v>101</v>
      </c>
      <c r="E7" t="s">
        <v>159</v>
      </c>
      <c r="F7" s="7">
        <v>85</v>
      </c>
      <c r="G7" s="7"/>
      <c r="H7" s="7">
        <v>50</v>
      </c>
      <c r="I7" s="7"/>
      <c r="J7" s="7">
        <v>135</v>
      </c>
    </row>
    <row r="8" spans="1:10" x14ac:dyDescent="0.25">
      <c r="A8" t="s">
        <v>97</v>
      </c>
      <c r="B8">
        <v>50203</v>
      </c>
      <c r="C8" s="9">
        <v>44771</v>
      </c>
      <c r="D8" t="s">
        <v>161</v>
      </c>
      <c r="F8" s="7">
        <v>85</v>
      </c>
      <c r="G8" s="7"/>
      <c r="H8" s="7">
        <v>50</v>
      </c>
      <c r="I8" s="7"/>
      <c r="J8" s="7">
        <v>135</v>
      </c>
    </row>
    <row r="9" spans="1:10" x14ac:dyDescent="0.25">
      <c r="A9" t="s">
        <v>97</v>
      </c>
      <c r="B9">
        <v>50203</v>
      </c>
      <c r="C9" s="9" t="s">
        <v>162</v>
      </c>
      <c r="F9" s="7">
        <v>709</v>
      </c>
      <c r="G9" s="7">
        <v>504</v>
      </c>
      <c r="H9" s="7">
        <v>27787</v>
      </c>
      <c r="I9" s="7">
        <v>3450</v>
      </c>
      <c r="J9" s="7">
        <v>32450</v>
      </c>
    </row>
    <row r="10" spans="1:10" x14ac:dyDescent="0.25">
      <c r="A10" t="s">
        <v>97</v>
      </c>
      <c r="B10" t="s">
        <v>163</v>
      </c>
      <c r="F10" s="7">
        <v>709</v>
      </c>
      <c r="G10" s="7">
        <v>504</v>
      </c>
      <c r="H10" s="7">
        <v>27787</v>
      </c>
      <c r="I10" s="7">
        <v>3450</v>
      </c>
      <c r="J10" s="7">
        <v>32450</v>
      </c>
    </row>
    <row r="11" spans="1:10" x14ac:dyDescent="0.25">
      <c r="A11" t="s">
        <v>164</v>
      </c>
      <c r="F11" s="7">
        <v>709</v>
      </c>
      <c r="G11" s="7">
        <v>504</v>
      </c>
      <c r="H11" s="7">
        <v>27787</v>
      </c>
      <c r="I11" s="7">
        <v>3450</v>
      </c>
      <c r="J11" s="7">
        <v>32450</v>
      </c>
    </row>
    <row r="12" spans="1:10" x14ac:dyDescent="0.25">
      <c r="A12" t="s">
        <v>83</v>
      </c>
      <c r="F12" s="7">
        <v>709</v>
      </c>
      <c r="G12" s="7">
        <v>504</v>
      </c>
      <c r="H12" s="7">
        <v>27787</v>
      </c>
      <c r="I12" s="7">
        <v>3450</v>
      </c>
      <c r="J12" s="7">
        <v>32450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15"/>
  <sheetViews>
    <sheetView workbookViewId="0">
      <selection sqref="A1:V15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96</v>
      </c>
      <c r="B2" t="s">
        <v>97</v>
      </c>
      <c r="C2">
        <v>50203</v>
      </c>
      <c r="D2">
        <v>93</v>
      </c>
      <c r="E2" s="9">
        <v>44771</v>
      </c>
      <c r="F2">
        <v>9694</v>
      </c>
      <c r="G2" s="8" t="s">
        <v>98</v>
      </c>
      <c r="J2" s="8" t="s">
        <v>99</v>
      </c>
      <c r="L2" t="s">
        <v>100</v>
      </c>
      <c r="M2" t="s">
        <v>101</v>
      </c>
      <c r="N2" t="s">
        <v>102</v>
      </c>
      <c r="P2">
        <v>50</v>
      </c>
      <c r="Q2" s="8" t="s">
        <v>103</v>
      </c>
      <c r="R2" s="8" t="s">
        <v>103</v>
      </c>
      <c r="S2" t="s">
        <v>104</v>
      </c>
    </row>
    <row r="3" spans="1:22" x14ac:dyDescent="0.25">
      <c r="A3" t="s">
        <v>96</v>
      </c>
      <c r="B3" t="s">
        <v>97</v>
      </c>
      <c r="C3">
        <v>50203</v>
      </c>
      <c r="D3">
        <v>93</v>
      </c>
      <c r="E3" s="9">
        <v>44771</v>
      </c>
      <c r="F3">
        <v>9691</v>
      </c>
      <c r="G3" s="8" t="s">
        <v>105</v>
      </c>
      <c r="J3" s="8" t="s">
        <v>106</v>
      </c>
      <c r="L3" t="s">
        <v>100</v>
      </c>
      <c r="M3" t="s">
        <v>101</v>
      </c>
      <c r="N3" t="s">
        <v>102</v>
      </c>
      <c r="P3">
        <v>25</v>
      </c>
      <c r="Q3" s="8" t="s">
        <v>103</v>
      </c>
      <c r="R3" s="8" t="s">
        <v>103</v>
      </c>
    </row>
    <row r="4" spans="1:22" x14ac:dyDescent="0.25">
      <c r="A4" t="s">
        <v>96</v>
      </c>
      <c r="B4" t="s">
        <v>97</v>
      </c>
      <c r="C4">
        <v>50203</v>
      </c>
      <c r="D4">
        <v>93</v>
      </c>
      <c r="E4" s="9">
        <v>44771</v>
      </c>
      <c r="F4">
        <v>9682</v>
      </c>
      <c r="G4" s="8" t="s">
        <v>107</v>
      </c>
      <c r="J4" s="8" t="s">
        <v>108</v>
      </c>
      <c r="L4" t="s">
        <v>100</v>
      </c>
      <c r="M4" t="s">
        <v>109</v>
      </c>
      <c r="N4" t="s">
        <v>110</v>
      </c>
      <c r="P4">
        <v>2197</v>
      </c>
      <c r="Q4" s="8" t="s">
        <v>111</v>
      </c>
      <c r="R4" s="8" t="s">
        <v>103</v>
      </c>
      <c r="S4" t="s">
        <v>112</v>
      </c>
      <c r="T4" t="s">
        <v>113</v>
      </c>
      <c r="V4" t="s">
        <v>114</v>
      </c>
    </row>
    <row r="5" spans="1:22" x14ac:dyDescent="0.25">
      <c r="A5" t="s">
        <v>96</v>
      </c>
      <c r="B5" t="s">
        <v>97</v>
      </c>
      <c r="C5">
        <v>50203</v>
      </c>
      <c r="D5">
        <v>93</v>
      </c>
      <c r="E5" s="9">
        <v>44771</v>
      </c>
      <c r="F5">
        <v>9690</v>
      </c>
      <c r="G5" s="8" t="s">
        <v>115</v>
      </c>
      <c r="J5" s="8" t="s">
        <v>116</v>
      </c>
      <c r="L5" t="s">
        <v>100</v>
      </c>
      <c r="M5" t="s">
        <v>101</v>
      </c>
      <c r="N5" t="s">
        <v>110</v>
      </c>
      <c r="P5">
        <v>50</v>
      </c>
      <c r="Q5" s="8" t="s">
        <v>103</v>
      </c>
      <c r="R5" s="8" t="s">
        <v>103</v>
      </c>
      <c r="T5" t="s">
        <v>117</v>
      </c>
      <c r="V5" t="s">
        <v>118</v>
      </c>
    </row>
    <row r="6" spans="1:22" x14ac:dyDescent="0.25">
      <c r="A6" t="s">
        <v>96</v>
      </c>
      <c r="B6" t="s">
        <v>97</v>
      </c>
      <c r="C6">
        <v>50203</v>
      </c>
      <c r="D6">
        <v>93</v>
      </c>
      <c r="E6" s="9">
        <v>44771</v>
      </c>
      <c r="F6">
        <v>9712</v>
      </c>
      <c r="G6" s="8" t="s">
        <v>119</v>
      </c>
      <c r="J6" s="8" t="s">
        <v>120</v>
      </c>
      <c r="L6" t="s">
        <v>100</v>
      </c>
      <c r="M6" t="s">
        <v>109</v>
      </c>
      <c r="N6" t="s">
        <v>110</v>
      </c>
      <c r="P6">
        <v>5946</v>
      </c>
      <c r="Q6" s="8" t="s">
        <v>121</v>
      </c>
      <c r="R6" s="8" t="s">
        <v>103</v>
      </c>
      <c r="S6" t="s">
        <v>122</v>
      </c>
      <c r="T6" t="s">
        <v>113</v>
      </c>
      <c r="V6" t="s">
        <v>118</v>
      </c>
    </row>
    <row r="7" spans="1:22" x14ac:dyDescent="0.25">
      <c r="A7" t="s">
        <v>96</v>
      </c>
      <c r="B7" t="s">
        <v>97</v>
      </c>
      <c r="C7">
        <v>50203</v>
      </c>
      <c r="D7">
        <v>93</v>
      </c>
      <c r="E7" s="9">
        <v>44771</v>
      </c>
      <c r="F7">
        <v>9672</v>
      </c>
      <c r="G7" s="8" t="s">
        <v>123</v>
      </c>
      <c r="J7" s="8" t="s">
        <v>124</v>
      </c>
      <c r="L7" t="s">
        <v>100</v>
      </c>
      <c r="M7" t="s">
        <v>109</v>
      </c>
      <c r="N7" t="s">
        <v>125</v>
      </c>
      <c r="P7">
        <v>504</v>
      </c>
      <c r="Q7" s="8" t="s">
        <v>126</v>
      </c>
      <c r="R7" s="8" t="s">
        <v>103</v>
      </c>
      <c r="S7" t="s">
        <v>127</v>
      </c>
    </row>
    <row r="8" spans="1:22" x14ac:dyDescent="0.25">
      <c r="A8" t="s">
        <v>96</v>
      </c>
      <c r="B8" t="s">
        <v>97</v>
      </c>
      <c r="C8">
        <v>50203</v>
      </c>
      <c r="D8">
        <v>93</v>
      </c>
      <c r="E8" s="9">
        <v>44771</v>
      </c>
      <c r="F8">
        <v>9669</v>
      </c>
      <c r="G8" s="8" t="s">
        <v>128</v>
      </c>
      <c r="J8" s="8" t="s">
        <v>129</v>
      </c>
      <c r="L8" t="s">
        <v>100</v>
      </c>
      <c r="M8" t="s">
        <v>109</v>
      </c>
      <c r="N8" t="s">
        <v>110</v>
      </c>
      <c r="P8">
        <v>3597</v>
      </c>
      <c r="Q8" s="8" t="s">
        <v>130</v>
      </c>
      <c r="R8" s="8" t="s">
        <v>103</v>
      </c>
      <c r="S8" t="s">
        <v>131</v>
      </c>
      <c r="T8" t="s">
        <v>132</v>
      </c>
      <c r="V8" t="s">
        <v>133</v>
      </c>
    </row>
    <row r="9" spans="1:22" x14ac:dyDescent="0.25">
      <c r="A9" t="s">
        <v>96</v>
      </c>
      <c r="B9" t="s">
        <v>97</v>
      </c>
      <c r="C9">
        <v>50203</v>
      </c>
      <c r="D9">
        <v>93</v>
      </c>
      <c r="E9" s="9">
        <v>44771</v>
      </c>
      <c r="F9">
        <v>9666</v>
      </c>
      <c r="G9" s="8" t="s">
        <v>134</v>
      </c>
      <c r="J9" s="8" t="s">
        <v>135</v>
      </c>
      <c r="L9" t="s">
        <v>100</v>
      </c>
      <c r="M9" t="s">
        <v>109</v>
      </c>
      <c r="N9" t="s">
        <v>110</v>
      </c>
      <c r="P9">
        <v>2396</v>
      </c>
      <c r="Q9" s="8" t="s">
        <v>136</v>
      </c>
      <c r="R9" s="8" t="s">
        <v>103</v>
      </c>
      <c r="S9" t="s">
        <v>137</v>
      </c>
      <c r="T9" t="s">
        <v>138</v>
      </c>
      <c r="V9" t="s">
        <v>133</v>
      </c>
    </row>
    <row r="10" spans="1:22" x14ac:dyDescent="0.25">
      <c r="A10" t="s">
        <v>96</v>
      </c>
      <c r="B10" t="s">
        <v>97</v>
      </c>
      <c r="C10">
        <v>50203</v>
      </c>
      <c r="D10">
        <v>93</v>
      </c>
      <c r="E10" s="9">
        <v>44771</v>
      </c>
      <c r="F10">
        <v>9685</v>
      </c>
      <c r="G10" s="8" t="s">
        <v>139</v>
      </c>
      <c r="J10" s="8" t="s">
        <v>140</v>
      </c>
      <c r="L10" t="s">
        <v>100</v>
      </c>
      <c r="M10" t="s">
        <v>109</v>
      </c>
      <c r="N10" t="s">
        <v>110</v>
      </c>
      <c r="P10">
        <v>2355</v>
      </c>
      <c r="Q10" s="8" t="s">
        <v>141</v>
      </c>
      <c r="R10" s="8" t="s">
        <v>103</v>
      </c>
      <c r="S10" t="s">
        <v>142</v>
      </c>
      <c r="T10" t="s">
        <v>143</v>
      </c>
      <c r="V10" t="s">
        <v>118</v>
      </c>
    </row>
    <row r="11" spans="1:22" x14ac:dyDescent="0.25">
      <c r="A11" t="s">
        <v>96</v>
      </c>
      <c r="B11" t="s">
        <v>97</v>
      </c>
      <c r="C11">
        <v>50203</v>
      </c>
      <c r="D11">
        <v>93</v>
      </c>
      <c r="E11" s="9">
        <v>44771</v>
      </c>
      <c r="F11">
        <v>9700</v>
      </c>
      <c r="G11" s="8" t="s">
        <v>144</v>
      </c>
      <c r="J11" s="8" t="s">
        <v>145</v>
      </c>
      <c r="L11" t="s">
        <v>100</v>
      </c>
      <c r="M11" t="s">
        <v>101</v>
      </c>
      <c r="N11" t="s">
        <v>102</v>
      </c>
      <c r="P11">
        <v>10</v>
      </c>
      <c r="Q11" s="8" t="s">
        <v>103</v>
      </c>
      <c r="R11" s="8" t="s">
        <v>103</v>
      </c>
    </row>
    <row r="12" spans="1:22" x14ac:dyDescent="0.25">
      <c r="A12" t="s">
        <v>96</v>
      </c>
      <c r="B12" t="s">
        <v>97</v>
      </c>
      <c r="C12">
        <v>50203</v>
      </c>
      <c r="D12">
        <v>93</v>
      </c>
      <c r="E12" s="9">
        <v>44771</v>
      </c>
      <c r="F12">
        <v>9688</v>
      </c>
      <c r="G12" s="8" t="s">
        <v>146</v>
      </c>
      <c r="J12" s="8" t="s">
        <v>147</v>
      </c>
      <c r="L12" t="s">
        <v>100</v>
      </c>
      <c r="M12" t="s">
        <v>109</v>
      </c>
      <c r="N12" t="s">
        <v>102</v>
      </c>
      <c r="P12">
        <v>277</v>
      </c>
      <c r="Q12" s="8" t="s">
        <v>148</v>
      </c>
      <c r="R12" s="8" t="s">
        <v>103</v>
      </c>
      <c r="S12" t="s">
        <v>149</v>
      </c>
    </row>
    <row r="13" spans="1:22" x14ac:dyDescent="0.25">
      <c r="A13" t="s">
        <v>96</v>
      </c>
      <c r="B13" t="s">
        <v>97</v>
      </c>
      <c r="C13">
        <v>50203</v>
      </c>
      <c r="D13">
        <v>93</v>
      </c>
      <c r="E13" s="9">
        <v>44771</v>
      </c>
      <c r="F13">
        <v>9705</v>
      </c>
      <c r="G13" s="8" t="s">
        <v>150</v>
      </c>
      <c r="J13" s="8" t="s">
        <v>151</v>
      </c>
      <c r="L13" t="s">
        <v>100</v>
      </c>
      <c r="M13" t="s">
        <v>109</v>
      </c>
      <c r="N13" t="s">
        <v>102</v>
      </c>
      <c r="P13">
        <v>347</v>
      </c>
      <c r="Q13" s="8" t="s">
        <v>152</v>
      </c>
      <c r="R13" s="8" t="s">
        <v>103</v>
      </c>
      <c r="S13" t="s">
        <v>153</v>
      </c>
    </row>
    <row r="14" spans="1:22" x14ac:dyDescent="0.25">
      <c r="A14" t="s">
        <v>96</v>
      </c>
      <c r="B14" t="s">
        <v>97</v>
      </c>
      <c r="C14">
        <v>50203</v>
      </c>
      <c r="D14">
        <v>93</v>
      </c>
      <c r="E14" s="9">
        <v>44771</v>
      </c>
      <c r="F14">
        <v>9686</v>
      </c>
      <c r="G14" s="8" t="s">
        <v>154</v>
      </c>
      <c r="J14" s="8" t="s">
        <v>155</v>
      </c>
      <c r="L14" t="s">
        <v>100</v>
      </c>
      <c r="M14" t="s">
        <v>109</v>
      </c>
      <c r="N14" t="s">
        <v>110</v>
      </c>
      <c r="P14">
        <v>11246</v>
      </c>
      <c r="Q14" s="8" t="s">
        <v>156</v>
      </c>
      <c r="R14" s="8" t="s">
        <v>103</v>
      </c>
      <c r="S14" t="s">
        <v>157</v>
      </c>
      <c r="T14" t="s">
        <v>117</v>
      </c>
      <c r="V14" t="s">
        <v>118</v>
      </c>
    </row>
    <row r="15" spans="1:22" x14ac:dyDescent="0.25">
      <c r="A15" t="s">
        <v>96</v>
      </c>
      <c r="B15" t="s">
        <v>97</v>
      </c>
      <c r="C15">
        <v>50203</v>
      </c>
      <c r="D15">
        <v>93</v>
      </c>
      <c r="E15" s="9">
        <v>44771</v>
      </c>
      <c r="F15">
        <v>9705</v>
      </c>
      <c r="G15" s="8" t="s">
        <v>150</v>
      </c>
      <c r="J15" s="8" t="s">
        <v>151</v>
      </c>
      <c r="L15" t="s">
        <v>100</v>
      </c>
      <c r="M15" t="s">
        <v>109</v>
      </c>
      <c r="N15" t="s">
        <v>158</v>
      </c>
      <c r="P15">
        <v>3450</v>
      </c>
      <c r="Q15" s="8" t="s">
        <v>152</v>
      </c>
      <c r="R15" s="8" t="s">
        <v>103</v>
      </c>
      <c r="S15" t="s">
        <v>153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2022-08-01T16:06:31Z</dcterms:modified>
</cp:coreProperties>
</file>