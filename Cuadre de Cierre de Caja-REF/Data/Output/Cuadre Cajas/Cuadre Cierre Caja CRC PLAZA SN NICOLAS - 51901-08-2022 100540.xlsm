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pivotTables/pivotTable3.xml" ContentType="application/vnd.openxmlformats-officedocument.spreadsheetml.pivot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_coronado\Documents\UiPath\Cuadre de Cierre de Caja-REF\Data\Output\Cuadre Cajas\"/>
    </mc:Choice>
  </mc:AlternateContent>
  <xr:revisionPtr revIDLastSave="0" documentId="13_ncr:1_{1E4B81BD-BBA6-4FD1-85B6-EEC91FB14628}" xr6:coauthVersionLast="47" xr6:coauthVersionMax="47" xr10:uidLastSave="{00000000-0000-0000-0000-000000000000}"/>
  <bookViews>
    <workbookView xWindow="390" yWindow="390" windowWidth="21600" windowHeight="11385" xr2:uid="{00000000-000D-0000-FFFF-FFFF00000000}"/>
  </bookViews>
  <sheets>
    <sheet name="Cierre" sheetId="6" r:id="rId1"/>
    <sheet name="tblTarjetas" sheetId="7" state="hidden" r:id="rId2"/>
    <sheet name="Tarjetas" sheetId="1" state="hidden" r:id="rId3"/>
    <sheet name="tblDepositos" sheetId="8" state="hidden" r:id="rId4"/>
    <sheet name="Depositos" sheetId="2" state="hidden" r:id="rId5"/>
    <sheet name="tblTransaccional" sheetId="9" state="hidden" r:id="rId6"/>
    <sheet name="Transaccional" sheetId="5" state="hidden" r:id="rId7"/>
  </sheets>
  <calcPr calcId="162913"/>
  <pivotCaches>
    <pivotCache cacheId="88" r:id="rId8"/>
    <pivotCache cacheId="89" r:id="rId9"/>
    <pivotCache cacheId="90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<sst xmlns="http://schemas.openxmlformats.org/spreadsheetml/2006/main" count="369" uniqueCount="165">
  <si>
    <t>NÚMERO TRANSACCION</t>
  </si>
  <si>
    <t>DESC CUENTA</t>
  </si>
  <si>
    <t>CENTRO ANALISIS</t>
  </si>
  <si>
    <t>RI</t>
  </si>
  <si>
    <t>NO CAJA</t>
  </si>
  <si>
    <t>DESC ALMACEN</t>
  </si>
  <si>
    <t>REFERENCIA</t>
  </si>
  <si>
    <t>PERIODO CONTABLE</t>
  </si>
  <si>
    <t>FECHA AUTORIZACIÓN</t>
  </si>
  <si>
    <t>TIPO PROMOCIÓN</t>
  </si>
  <si>
    <t>MONEDA</t>
  </si>
  <si>
    <t>MONTO</t>
  </si>
  <si>
    <t>NUMERO CONFIRMADO</t>
  </si>
  <si>
    <t>Monto Confirmado</t>
  </si>
  <si>
    <t>Diferencia</t>
  </si>
  <si>
    <t>TASA DE CAMBIO</t>
  </si>
  <si>
    <t>MONTO MNL</t>
  </si>
  <si>
    <t>ESTADO</t>
  </si>
  <si>
    <t>FECHA BANCO</t>
  </si>
  <si>
    <t>NÚMERO DE DEPOSITO</t>
  </si>
  <si>
    <t>NÚMERO CCF</t>
  </si>
  <si>
    <t>FECHA CONFIRMACION</t>
  </si>
  <si>
    <t>FECHA CONTABLE</t>
  </si>
  <si>
    <t>EMPLEADO</t>
  </si>
  <si>
    <t>ACTUALIZADO POR</t>
  </si>
  <si>
    <t>Compañia</t>
  </si>
  <si>
    <t>Período</t>
  </si>
  <si>
    <t>Tipo</t>
  </si>
  <si>
    <t>Número Transacción</t>
  </si>
  <si>
    <t>Centro Analisis</t>
  </si>
  <si>
    <t>Tienda</t>
  </si>
  <si>
    <t>Desc Almacen</t>
  </si>
  <si>
    <t>Caja</t>
  </si>
  <si>
    <t>Estado</t>
  </si>
  <si>
    <t>Fecha deposito</t>
  </si>
  <si>
    <t>Numero Deposito</t>
  </si>
  <si>
    <t>Numero Cuenta</t>
  </si>
  <si>
    <t>Desc Cuenta</t>
  </si>
  <si>
    <t>Moneda</t>
  </si>
  <si>
    <t>Monto</t>
  </si>
  <si>
    <t>Fecha Banco</t>
  </si>
  <si>
    <t>Número Déposito Confirmado</t>
  </si>
  <si>
    <t>Número Cuenta Confirmada</t>
  </si>
  <si>
    <t>Tasa de Cambio</t>
  </si>
  <si>
    <t>Monto MNL</t>
  </si>
  <si>
    <t>Motivo</t>
  </si>
  <si>
    <t>Fecha confirmacion</t>
  </si>
  <si>
    <t>Fecha Contabilización</t>
  </si>
  <si>
    <t>Empleado</t>
  </si>
  <si>
    <t>Actualizado por</t>
  </si>
  <si>
    <t>CADENA</t>
  </si>
  <si>
    <t>TIENDA</t>
  </si>
  <si>
    <t>CDA</t>
  </si>
  <si>
    <t>CAJA</t>
  </si>
  <si>
    <t>FECHA TRANSACCION</t>
  </si>
  <si>
    <t>CORRELATIVO CAJA</t>
  </si>
  <si>
    <t>No. TRANSACCION</t>
  </si>
  <si>
    <t>TRANSACCION ORIGINAL (Devolución)</t>
  </si>
  <si>
    <t>TRANSACCIÓN CAJA ORIGINAL(Devolución)</t>
  </si>
  <si>
    <t>No. DOCUMENTO</t>
  </si>
  <si>
    <t>NUMERO DE SOLICITUD</t>
  </si>
  <si>
    <t>TIPO DOCUMENTO</t>
  </si>
  <si>
    <t>TRANSACCIONES CAJA</t>
  </si>
  <si>
    <t>FORMA DE PAGO</t>
  </si>
  <si>
    <t>CODIGO DE RAZON</t>
  </si>
  <si>
    <t>NUM_COTIZACON</t>
  </si>
  <si>
    <t>NUM_CUENTA</t>
  </si>
  <si>
    <t>NOMBRE_CLIENTE</t>
  </si>
  <si>
    <t>BANCO</t>
  </si>
  <si>
    <t>AUTORIZACION</t>
  </si>
  <si>
    <t>PROMOCION</t>
  </si>
  <si>
    <t>Union Comercial de Guatemala, S.A. - Banco G&amp;T Continental, S.A.</t>
  </si>
  <si>
    <t>UNICOMER -PLAZA SAN NICOLAS-</t>
  </si>
  <si>
    <t>29/07/2022</t>
  </si>
  <si>
    <t>TARJETA</t>
  </si>
  <si>
    <t>GTQ</t>
  </si>
  <si>
    <t>NOC</t>
  </si>
  <si>
    <t>EDWIN ISMAEL ESTRADA NORIEGA</t>
  </si>
  <si>
    <t>system</t>
  </si>
  <si>
    <t>VISANET 10 PAGOS</t>
  </si>
  <si>
    <t>Union Comercial de Guatemala, S.A. - Banco de America Central, S.A.</t>
  </si>
  <si>
    <t>MELVA ROSALIA PEREZ GARCIA</t>
  </si>
  <si>
    <t>VISANET 3 PAGOS</t>
  </si>
  <si>
    <t>Etiquetas de columna</t>
  </si>
  <si>
    <t>Total general</t>
  </si>
  <si>
    <t>Etiquetas de fila</t>
  </si>
  <si>
    <t>Suma de MONTO</t>
  </si>
  <si>
    <t>UNICOMER</t>
  </si>
  <si>
    <t>CSH</t>
  </si>
  <si>
    <t>12519000080320220729</t>
  </si>
  <si>
    <t>CON</t>
  </si>
  <si>
    <t>066-0008237-0</t>
  </si>
  <si>
    <t>Banco G&amp;T Continental, S.A.</t>
  </si>
  <si>
    <t>30/07/2022</t>
  </si>
  <si>
    <t>Confirmación Automática</t>
  </si>
  <si>
    <t>31/07/2022</t>
  </si>
  <si>
    <t>JUAN MANUEL MENDEZ PAZ</t>
  </si>
  <si>
    <t>UNICOSERVI</t>
  </si>
  <si>
    <t>066-0018094-3</t>
  </si>
  <si>
    <t>BLUESTART GUATEMALA, S.A.</t>
  </si>
  <si>
    <t>NRGL</t>
  </si>
  <si>
    <t>066-0030603-2</t>
  </si>
  <si>
    <t>Banco G&amp;T C</t>
  </si>
  <si>
    <t>Suma de Monto</t>
  </si>
  <si>
    <t>LA CURACAO</t>
  </si>
  <si>
    <t>CRC PLAZA SN NICOLAS</t>
  </si>
  <si>
    <t>12519013690220220729</t>
  </si>
  <si>
    <t>82B2D9F33744419823</t>
  </si>
  <si>
    <t>Factura Consumidor Final</t>
  </si>
  <si>
    <t>Venta Cotización contado</t>
  </si>
  <si>
    <t>Tarjeta de Credito</t>
  </si>
  <si>
    <t>125192052201Q6</t>
  </si>
  <si>
    <t/>
  </si>
  <si>
    <t xml:space="preserve">HUGO ALEXANDER  SAZO HERNANDEZ </t>
  </si>
  <si>
    <t>BANCO INDUSTRIAL, S.A.|000-063</t>
  </si>
  <si>
    <t>Visanet3Pagos</t>
  </si>
  <si>
    <t>12519013693920220729</t>
  </si>
  <si>
    <t>9131EC3E1441024447</t>
  </si>
  <si>
    <t>125192542201TS</t>
  </si>
  <si>
    <t xml:space="preserve">DANIEL   MOLINA  </t>
  </si>
  <si>
    <t>BANCO DE DESARROLLO RURAL, S.A</t>
  </si>
  <si>
    <t>Card</t>
  </si>
  <si>
    <t>12519013690620220729</t>
  </si>
  <si>
    <t>2BF981AC3107143799</t>
  </si>
  <si>
    <t>Ventas Contado</t>
  </si>
  <si>
    <t>Efectivo</t>
  </si>
  <si>
    <t xml:space="preserve">HUGO   FLORES  </t>
  </si>
  <si>
    <t>12519013692120220729</t>
  </si>
  <si>
    <t>BDB862B12725529807</t>
  </si>
  <si>
    <t>12519013693020220729</t>
  </si>
  <si>
    <t>2B4EF84F392318525</t>
  </si>
  <si>
    <t>125192172200X1</t>
  </si>
  <si>
    <t xml:space="preserve">GLADYS   CHANCHAVAC  </t>
  </si>
  <si>
    <t>12519013691120220729</t>
  </si>
  <si>
    <t>B194B818532628841</t>
  </si>
  <si>
    <t>125192542201TQ</t>
  </si>
  <si>
    <t xml:space="preserve">JORGE   BOCH  </t>
  </si>
  <si>
    <t>Visanet10Pagos</t>
  </si>
  <si>
    <t>12519013689620220729</t>
  </si>
  <si>
    <t>3F1998773589752663</t>
  </si>
  <si>
    <t>125192052201Q3</t>
  </si>
  <si>
    <t>AURA  MARINA  BOROR YOC</t>
  </si>
  <si>
    <t>12519013693220220729</t>
  </si>
  <si>
    <t>16A4342F4100670384</t>
  </si>
  <si>
    <t>12519013693620220729</t>
  </si>
  <si>
    <t>85F944441316635272</t>
  </si>
  <si>
    <t xml:space="preserve">DENIS   GOMEZ  </t>
  </si>
  <si>
    <t>(en blanco)</t>
  </si>
  <si>
    <t>Total Venta Cotización contado</t>
  </si>
  <si>
    <t>Total Ventas Contado</t>
  </si>
  <si>
    <t>Total 29/07/2022</t>
  </si>
  <si>
    <t>Total 50206</t>
  </si>
  <si>
    <t>Total CRC PLAZA SN NICOLAS</t>
  </si>
  <si>
    <t>CIA</t>
  </si>
  <si>
    <t>INHOUSE DEP-TC</t>
  </si>
  <si>
    <t>INGRESOS CORTE DE CAJA</t>
  </si>
  <si>
    <t>CIERRE P.O.S.</t>
  </si>
  <si>
    <t>VENTAS TC INTERNET</t>
  </si>
  <si>
    <t>VISALINK</t>
  </si>
  <si>
    <t>TRASLADOS</t>
  </si>
  <si>
    <t>DIFERENCIA</t>
  </si>
  <si>
    <t>OBSERVACIÓN</t>
  </si>
  <si>
    <t>BLUESTART</t>
  </si>
  <si>
    <t>TARJETAS</t>
  </si>
  <si>
    <t>Columna1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</si>
</sst>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8"/>
      <color theme="1"/>
      <name val="Eras Medium ITC"/>
      <family val="2"/>
    </font>
  </fonts>
  <fills count="3">
    <fill>
      <patternFill patternType="none"/>
    </fill>
    <fill>
      <patternFill patternType="gray125"/>
    </fill>
    <fill>
      <patternFill patternType="solid">
        <fgColor rgb="FFCFE0F1"/>
      </patternFill>
    </fill>
  </fills>
  <borders count="2">
    <border>
      <left/>
      <right/>
      <top/>
      <bottom/>
      <diagonal/>
    </border>
    <border>
      <left style="thin">
        <color rgb="FF777777"/>
      </left>
      <right style="thin">
        <color rgb="FF777777"/>
      </right>
      <top/>
      <bottom style="thin">
        <color rgb="FF777777"/>
      </bottom>
      <diagonal/>
    </border>
  </borders>
  <cellStyleXfs count="1">
    <xf numFmtId="0" fontId="0" fillId="0" borderId="0"/>
  </cellStyleXfs>
  <cellXfs count="10">
    <xf numFmtId="0" fontId="0" fillId="0" borderId="0" xfId="0"/>
    <xf numFmtId="17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3" fontId="0" fillId="0" borderId="0" xfId="0" applyNumberFormat="1"/>
    <xf numFmtId="0" fontId="0" fillId="0" borderId="0" xfId="0" quotePrefix="1"/>
    <xf numFmtId="14" fontId="0" fillId="0" borderId="0" xfId="0" applyNumberFormat="1"/>
  </cellXfs>
  <cellStyles count="1">
    <cellStyle name="Normal" xfId="0" builtinId="0"/>
  </cellStyles>
  <dxfs count="12">
    <dxf>
      <numFmt numFmtId="164" formatCode="m/d/yy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  <dxf>
      <numFmt numFmtId="22" formatCode="mmm\-yy"/>
    </dxf>
    <dxf>
      <border outline="0">
        <top style="thin">
          <color rgb="FF777777"/>
        </top>
      </border>
    </dxf>
    <dxf>
      <border outline="0">
        <bottom style="thin">
          <color rgb="FF77777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Eras Medium ITC"/>
        <family val="2"/>
        <scheme val="none"/>
      </font>
      <fill>
        <patternFill patternType="solid">
          <fgColor indexed="64"/>
          <bgColor rgb="FFCFE0F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777777"/>
        </left>
        <right style="thin">
          <color rgb="FF777777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632060188" createdVersion="3" refreshedVersion="8" minRefreshableVersion="3" recordCount="8" xr:uid="{C1C1B86C-FF14-462B-820A-3AC668EB1404}">
  <cacheSource type="worksheet">
    <worksheetSource name="Tabla1"/>
  </cacheSource>
  <cacheFields count="25">
    <cacheField name="NÚMERO TRANSACCION" numFmtId="0">
      <sharedItems containsSemiMixedTypes="0" containsString="0" containsNumber="1" containsInteger="1" minValue="1.2519013689920201E+19" maxValue="1.2519013693920201E+19"/>
    </cacheField>
    <cacheField name="DESC CUENTA" numFmtId="0">
      <sharedItems/>
    </cacheField>
    <cacheField name="CENTRO ANALISIS" numFmtId="0">
      <sharedItems containsSemiMixedTypes="0" containsString="0" containsNumber="1" containsInteger="1" minValue="50206" maxValue="50206" count="1">
        <n v="50206"/>
      </sharedItems>
    </cacheField>
    <cacheField name="RI" numFmtId="0">
      <sharedItems containsSemiMixedTypes="0" containsString="0" containsNumber="1" containsInteger="1" minValue="519" maxValue="519"/>
    </cacheField>
    <cacheField name="NO CAJA" numFmtId="0">
      <sharedItems containsSemiMixedTypes="0" containsString="0" containsNumber="1" containsInteger="1" minValue="13" maxValue="13"/>
    </cacheField>
    <cacheField name="DESC ALMACEN" numFmtId="0">
      <sharedItems count="1">
        <s v="UNICOMER -PLAZA SAN NICOLAS-"/>
      </sharedItems>
    </cacheField>
    <cacheField name="REFERENCIA" numFmtId="0">
      <sharedItems containsSemiMixedTypes="0" containsString="0" containsNumber="1" containsInteger="1" minValue="13259" maxValue="873622"/>
    </cacheField>
    <cacheField name="PERIODO CONTABLE" numFmtId="17">
      <sharedItems containsSemiMixedTypes="0" containsNonDate="0" containsDate="1" containsString="0" minDate="2022-07-01T00:00:00" maxDate="2022-07-02T00:00:00"/>
    </cacheField>
    <cacheField name="FECHA AUTORIZACIÓN" numFmtId="0">
      <sharedItems count="1">
        <s v="29/07/2022"/>
      </sharedItems>
    </cacheField>
    <cacheField name="TIPO PROMOCIÓN" numFmtId="0">
      <sharedItems/>
    </cacheField>
    <cacheField name="MONEDA" numFmtId="0">
      <sharedItems/>
    </cacheField>
    <cacheField name="MONTO" numFmtId="0">
      <sharedItems containsSemiMixedTypes="0" containsString="0" containsNumber="1" containsInteger="1" minValue="200" maxValue="3200"/>
    </cacheField>
    <cacheField name="NUMERO CONFIRMADO" numFmtId="0">
      <sharedItems containsNonDate="0" containsString="0" containsBlank="1"/>
    </cacheField>
    <cacheField name="Monto Confirmado" numFmtId="0">
      <sharedItems containsNonDate="0" containsString="0" containsBlank="1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containsInteger="1" minValue="200" maxValue="3200"/>
    </cacheField>
    <cacheField name="ESTADO" numFmtId="0">
      <sharedItems count="1">
        <s v="NOC"/>
      </sharedItems>
    </cacheField>
    <cacheField name="FECHA BANCO" numFmtId="0">
      <sharedItems containsNonDate="0" containsString="0" containsBlank="1"/>
    </cacheField>
    <cacheField name="NÚMERO DE DEPOSITO" numFmtId="0">
      <sharedItems containsNonDate="0" containsString="0" containsBlank="1"/>
    </cacheField>
    <cacheField name="NÚMERO CCF" numFmtId="0">
      <sharedItems containsNonDate="0" containsString="0" containsBlank="1"/>
    </cacheField>
    <cacheField name="FECHA CONFIRMACION" numFmtId="0">
      <sharedItems containsNonDate="0" containsString="0" containsBlank="1"/>
    </cacheField>
    <cacheField name="FECHA CONTABLE" numFmtId="0">
      <sharedItems containsNonDate="0" containsString="0" containsBlank="1"/>
    </cacheField>
    <cacheField name="EMPLEADO" numFmtId="0">
      <sharedItems/>
    </cacheField>
    <cacheField name="ACTUALIZADO POR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658333336" createdVersion="3" refreshedVersion="8" minRefreshableVersion="3" recordCount="3" xr:uid="{66464BB0-A6C6-4451-B9D2-380F8507A499}">
  <cacheSource type="worksheet">
    <worksheetSource name="Tabla2"/>
  </cacheSource>
  <cacheFields count="27">
    <cacheField name="Compañia" numFmtId="0">
      <sharedItems count="3">
        <s v="UNICOMER"/>
        <s v="UNICOSERVI"/>
        <s v="BLUESTART GUATEMALA, S.A."/>
      </sharedItems>
    </cacheField>
    <cacheField name="Período" numFmtId="17">
      <sharedItems containsSemiMixedTypes="0" containsNonDate="0" containsDate="1" containsString="0" minDate="2022-07-01T00:00:00" maxDate="2022-07-02T00:00:00"/>
    </cacheField>
    <cacheField name="Tipo" numFmtId="0">
      <sharedItems/>
    </cacheField>
    <cacheField name="Número Transacción" numFmtId="0">
      <sharedItems/>
    </cacheField>
    <cacheField name="Centro Analisis" numFmtId="0">
      <sharedItems containsSemiMixedTypes="0" containsString="0" containsNumber="1" containsInteger="1" minValue="50206" maxValue="50206" count="1">
        <n v="50206"/>
      </sharedItems>
    </cacheField>
    <cacheField name="Tienda" numFmtId="0">
      <sharedItems containsSemiMixedTypes="0" containsString="0" containsNumber="1" containsInteger="1" minValue="12519" maxValue="12519"/>
    </cacheField>
    <cacheField name="Desc Almacen" numFmtId="0">
      <sharedItems count="1">
        <s v="UNICOMER -PLAZA SAN NICOLAS-"/>
      </sharedItems>
    </cacheField>
    <cacheField name="Caja" numFmtId="0">
      <sharedItems containsSemiMixedTypes="0" containsString="0" containsNumber="1" containsInteger="1" minValue="13" maxValue="13"/>
    </cacheField>
    <cacheField name="Estado" numFmtId="0">
      <sharedItems/>
    </cacheField>
    <cacheField name="Fecha deposito" numFmtId="0">
      <sharedItems count="1">
        <s v="29/07/2022"/>
      </sharedItems>
    </cacheField>
    <cacheField name="Numero Deposito" numFmtId="0">
      <sharedItems containsSemiMixedTypes="0" containsString="0" containsNumber="1" containsInteger="1" minValue="4019477" maxValue="4019479"/>
    </cacheField>
    <cacheField name="Numero Cuenta" numFmtId="0">
      <sharedItems/>
    </cacheField>
    <cacheField name="Desc Cuenta" numFmtId="0">
      <sharedItems/>
    </cacheField>
    <cacheField name="Moneda" numFmtId="0">
      <sharedItems/>
    </cacheField>
    <cacheField name="Monto" numFmtId="0">
      <sharedItems containsSemiMixedTypes="0" containsString="0" containsNumber="1" minValue="50" maxValue="11891.04"/>
    </cacheField>
    <cacheField name="Fecha Banco" numFmtId="0">
      <sharedItems containsBlank="1"/>
    </cacheField>
    <cacheField name="Número Déposito Confirmado" numFmtId="0">
      <sharedItems containsString="0" containsBlank="1" containsNumber="1" containsInteger="1" minValue="4019477" maxValue="4019478"/>
    </cacheField>
    <cacheField name="Número Cuenta Confirmada" numFmtId="0">
      <sharedItems containsBlank="1"/>
    </cacheField>
    <cacheField name="Monto Confirmado" numFmtId="0">
      <sharedItems containsSemiMixedTypes="0" containsString="0" containsNumber="1" minValue="50" maxValue="11891.04"/>
    </cacheField>
    <cacheField name="Diferencia" numFmtId="0">
      <sharedItems containsNonDate="0" containsString="0" containsBlank="1"/>
    </cacheField>
    <cacheField name="Tasa de Cambio" numFmtId="0">
      <sharedItems containsSemiMixedTypes="0" containsString="0" containsNumber="1" containsInteger="1" minValue="1" maxValue="1"/>
    </cacheField>
    <cacheField name="Monto MNL" numFmtId="0">
      <sharedItems containsSemiMixedTypes="0" containsString="0" containsNumber="1" minValue="50" maxValue="11891.04"/>
    </cacheField>
    <cacheField name="Motivo" numFmtId="0">
      <sharedItems containsBlank="1"/>
    </cacheField>
    <cacheField name="Fecha confirmacion" numFmtId="0">
      <sharedItems containsBlank="1"/>
    </cacheField>
    <cacheField name="Fecha Contabilización" numFmtId="0">
      <sharedItems containsNonDate="0" containsString="0" containsBlank="1"/>
    </cacheField>
    <cacheField name="Empleado" numFmtId="0">
      <sharedItems/>
    </cacheField>
    <cacheField name="Actualizado por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ristian Adolfo Coronado Gomez" refreshedDate="44774.420719444446" createdVersion="3" refreshedVersion="8" minRefreshableVersion="3" recordCount="10" xr:uid="{A6DAA16A-E942-4327-BD12-AE7591429431}">
  <cacheSource type="worksheet">
    <worksheetSource name="Tabla3"/>
  </cacheSource>
  <cacheFields count="22">
    <cacheField name="CADENA" numFmtId="0">
      <sharedItems/>
    </cacheField>
    <cacheField name="TIENDA" numFmtId="0">
      <sharedItems count="1">
        <s v="CRC PLAZA SN NICOLAS"/>
      </sharedItems>
    </cacheField>
    <cacheField name="CDA" numFmtId="0">
      <sharedItems containsSemiMixedTypes="0" containsString="0" containsNumber="1" containsInteger="1" minValue="50206" maxValue="50206" count="1">
        <n v="50206"/>
      </sharedItems>
    </cacheField>
    <cacheField name="CAJA" numFmtId="0">
      <sharedItems containsSemiMixedTypes="0" containsString="0" containsNumber="1" containsInteger="1" minValue="13" maxValue="13"/>
    </cacheField>
    <cacheField name="FECHA TRANSACCION" numFmtId="14">
      <sharedItems containsSemiMixedTypes="0" containsNonDate="0" containsDate="1" containsString="0" minDate="2022-07-29T00:00:00" maxDate="2022-07-30T00:00:00" count="1">
        <d v="2022-07-29T00:00:00"/>
      </sharedItems>
    </cacheField>
    <cacheField name="CORRELATIVO CAJA" numFmtId="0">
      <sharedItems containsSemiMixedTypes="0" containsString="0" containsNumber="1" containsInteger="1" minValue="6896" maxValue="6939"/>
    </cacheField>
    <cacheField name="No. TRANSACCION" numFmtId="0">
      <sharedItems/>
    </cacheField>
    <cacheField name="TRANSACCION ORIGINAL (Devolución)" numFmtId="0">
      <sharedItems containsNonDate="0" containsString="0" containsBlank="1"/>
    </cacheField>
    <cacheField name="TRANSACCIÓN CAJA ORIGINAL(Devolución)" numFmtId="0">
      <sharedItems containsNonDate="0" containsString="0" containsBlank="1"/>
    </cacheField>
    <cacheField name="No. DOCUMENTO" numFmtId="0">
      <sharedItems/>
    </cacheField>
    <cacheField name="NUMERO DE SOLICITUD" numFmtId="0">
      <sharedItems containsNonDate="0" containsString="0" containsBlank="1"/>
    </cacheField>
    <cacheField name="TIPO DOCUMENTO" numFmtId="0">
      <sharedItems/>
    </cacheField>
    <cacheField name="TRANSACCIONES CAJA" numFmtId="0">
      <sharedItems count="2">
        <s v="Venta Cotización contado"/>
        <s v="Ventas Contado"/>
      </sharedItems>
    </cacheField>
    <cacheField name="FORMA DE PAGO" numFmtId="0">
      <sharedItems count="2">
        <s v="Tarjeta de Credito"/>
        <s v="Efectivo"/>
      </sharedItems>
    </cacheField>
    <cacheField name="CODIGO DE RAZON" numFmtId="0">
      <sharedItems containsNonDate="0" containsString="0" containsBlank="1" count="1">
        <m/>
      </sharedItems>
    </cacheField>
    <cacheField name="MONTO" numFmtId="0">
      <sharedItems containsSemiMixedTypes="0" containsString="0" containsNumber="1" minValue="25" maxValue="3200"/>
    </cacheField>
    <cacheField name="NUM_COTIZACON" numFmtId="0">
      <sharedItems/>
    </cacheField>
    <cacheField name="NUM_CUENTA" numFmtId="0">
      <sharedItems/>
    </cacheField>
    <cacheField name="NOMBRE_CLIENTE" numFmtId="0">
      <sharedItems containsBlank="1"/>
    </cacheField>
    <cacheField name="BANCO" numFmtId="0">
      <sharedItems containsBlank="1"/>
    </cacheField>
    <cacheField name="AUTORIZACION" numFmtId="0">
      <sharedItems containsNonDate="0" containsString="0" containsBlank="1"/>
    </cacheField>
    <cacheField name="PROMOC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n v="1.2519013693920201E+19"/>
    <s v="Union Comercial de Guatemala, S.A. - Banco G&amp;T Continental, S.A."/>
    <x v="0"/>
    <n v="519"/>
    <n v="13"/>
    <x v="0"/>
    <n v="115134"/>
    <d v="2022-07-01T00:00:00"/>
    <x v="0"/>
    <s v="TARJETA"/>
    <s v="GTQ"/>
    <n v="797"/>
    <m/>
    <m/>
    <m/>
    <n v="1"/>
    <n v="797"/>
    <x v="0"/>
    <m/>
    <m/>
    <m/>
    <m/>
    <m/>
    <s v="EDWIN ISMAEL ESTRADA NORIEGA"/>
    <s v="system"/>
  </r>
  <r>
    <n v="1.2519013690520199E+19"/>
    <s v="Union Comercial de Guatemala, S.A. - Banco G&amp;T Continental, S.A."/>
    <x v="0"/>
    <n v="519"/>
    <n v="13"/>
    <x v="0"/>
    <n v="13259"/>
    <d v="2022-07-01T00:00:00"/>
    <x v="0"/>
    <s v="TARJETA"/>
    <s v="GTQ"/>
    <n v="1262"/>
    <m/>
    <m/>
    <m/>
    <n v="1"/>
    <n v="1262"/>
    <x v="0"/>
    <m/>
    <m/>
    <m/>
    <m/>
    <m/>
    <s v="EDWIN ISMAEL ESTRADA NORIEGA"/>
    <s v="system"/>
  </r>
  <r>
    <n v="1.25190136911202E+19"/>
    <s v="Union Comercial de Guatemala, S.A. - Banco G&amp;T Continental, S.A."/>
    <x v="0"/>
    <n v="519"/>
    <n v="13"/>
    <x v="0"/>
    <n v="873622"/>
    <d v="2022-07-01T00:00:00"/>
    <x v="0"/>
    <s v="TARJETA"/>
    <s v="GTQ"/>
    <n v="597"/>
    <m/>
    <m/>
    <m/>
    <n v="1"/>
    <n v="597"/>
    <x v="0"/>
    <m/>
    <m/>
    <m/>
    <m/>
    <m/>
    <s v="EDWIN ISMAEL ESTRADA NORIEGA"/>
    <s v="system"/>
  </r>
  <r>
    <n v="1.25190136911202E+19"/>
    <s v="Union Comercial de Guatemala, S.A. - Banco G&amp;T Continental, S.A."/>
    <x v="0"/>
    <n v="519"/>
    <n v="13"/>
    <x v="0"/>
    <n v="873527"/>
    <d v="2022-07-01T00:00:00"/>
    <x v="0"/>
    <s v="VISANET 10 PAGOS"/>
    <s v="GTQ"/>
    <n v="3200"/>
    <m/>
    <m/>
    <m/>
    <n v="1"/>
    <n v="3200"/>
    <x v="0"/>
    <m/>
    <m/>
    <m/>
    <m/>
    <m/>
    <s v="EDWIN ISMAEL ESTRADA NORIEGA"/>
    <s v="system"/>
  </r>
  <r>
    <n v="1.2519013689920201E+19"/>
    <s v="Union Comercial de Guatemala, S.A. - Banco de America Central, S.A."/>
    <x v="0"/>
    <n v="519"/>
    <n v="13"/>
    <x v="0"/>
    <n v="170849"/>
    <d v="2022-07-01T00:00:00"/>
    <x v="0"/>
    <s v="TARJETA"/>
    <s v="GTQ"/>
    <n v="1000"/>
    <m/>
    <m/>
    <m/>
    <n v="1"/>
    <n v="1000"/>
    <x v="0"/>
    <m/>
    <m/>
    <m/>
    <m/>
    <m/>
    <s v="MELVA ROSALIA PEREZ GARCIA"/>
    <s v="system"/>
  </r>
  <r>
    <n v="1.2519013692020199E+19"/>
    <s v="Union Comercial de Guatemala, S.A. - Banco G&amp;T Continental, S.A."/>
    <x v="0"/>
    <n v="519"/>
    <n v="13"/>
    <x v="0"/>
    <n v="24581"/>
    <d v="2022-07-01T00:00:00"/>
    <x v="0"/>
    <s v="TARJETA"/>
    <s v="GTQ"/>
    <n v="1226"/>
    <m/>
    <m/>
    <m/>
    <n v="1"/>
    <n v="1226"/>
    <x v="0"/>
    <m/>
    <m/>
    <m/>
    <m/>
    <m/>
    <s v="EDWIN ISMAEL ESTRADA NORIEGA"/>
    <s v="system"/>
  </r>
  <r>
    <n v="1.25190136902202E+19"/>
    <s v="Union Comercial de Guatemala, S.A. - Banco G&amp;T Continental, S.A."/>
    <x v="0"/>
    <n v="519"/>
    <n v="13"/>
    <x v="0"/>
    <n v="211268"/>
    <d v="2022-07-01T00:00:00"/>
    <x v="0"/>
    <s v="VISANET 3 PAGOS"/>
    <s v="GTQ"/>
    <n v="1972"/>
    <m/>
    <m/>
    <m/>
    <n v="1"/>
    <n v="1972"/>
    <x v="0"/>
    <m/>
    <m/>
    <m/>
    <m/>
    <m/>
    <s v="EDWIN ISMAEL ESTRADA NORIEGA"/>
    <s v="system"/>
  </r>
  <r>
    <n v="1.2519013692220201E+19"/>
    <s v="Union Comercial de Guatemala, S.A. - Banco G&amp;T Continental, S.A."/>
    <x v="0"/>
    <n v="519"/>
    <n v="13"/>
    <x v="0"/>
    <n v="43214"/>
    <d v="2022-07-01T00:00:00"/>
    <x v="0"/>
    <s v="TARJETA"/>
    <s v="GTQ"/>
    <n v="200"/>
    <m/>
    <m/>
    <m/>
    <n v="1"/>
    <n v="200"/>
    <x v="0"/>
    <m/>
    <m/>
    <m/>
    <m/>
    <m/>
    <s v="EDWIN ISMAEL ESTRADA NORIEGA"/>
    <s v="system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">
  <r>
    <x v="0"/>
    <d v="2022-07-01T00:00:00"/>
    <s v="CSH"/>
    <s v="12519000080320220729"/>
    <x v="0"/>
    <n v="12519"/>
    <x v="0"/>
    <n v="13"/>
    <s v="CON"/>
    <x v="0"/>
    <n v="4019477"/>
    <s v="066-0008237-0"/>
    <s v="Banco G&amp;T Continental, S.A."/>
    <s v="GTQ"/>
    <n v="100"/>
    <s v="30/07/2022"/>
    <n v="4019477"/>
    <s v="066-0008237-0"/>
    <n v="100"/>
    <m/>
    <n v="1"/>
    <n v="100"/>
    <s v="Confirmación Automática"/>
    <s v="31/07/2022"/>
    <m/>
    <s v="MELVA ROSALIA PEREZ GARCIA"/>
    <s v="JUAN MANUEL MENDEZ PAZ"/>
  </r>
  <r>
    <x v="1"/>
    <d v="2022-07-01T00:00:00"/>
    <s v="CSH"/>
    <s v="12519000080320220729"/>
    <x v="0"/>
    <n v="12519"/>
    <x v="0"/>
    <n v="13"/>
    <s v="CON"/>
    <x v="0"/>
    <n v="4019478"/>
    <s v="066-0018094-3"/>
    <s v="Banco G&amp;T Continental, S.A."/>
    <s v="GTQ"/>
    <n v="11891.04"/>
    <s v="30/07/2022"/>
    <n v="4019478"/>
    <s v="066-0018094-3"/>
    <n v="11891.04"/>
    <m/>
    <n v="1"/>
    <n v="11891.04"/>
    <s v="Confirmación Automática"/>
    <s v="31/07/2022"/>
    <m/>
    <s v="MELVA ROSALIA PEREZ GARCIA"/>
    <s v="JUAN MANUEL MENDEZ PAZ"/>
  </r>
  <r>
    <x v="2"/>
    <d v="2022-07-01T00:00:00"/>
    <s v="CSH"/>
    <s v="12519000080320220729"/>
    <x v="0"/>
    <n v="12519"/>
    <x v="0"/>
    <n v="13"/>
    <s v="NRGL"/>
    <x v="0"/>
    <n v="4019479"/>
    <s v="066-0030603-2"/>
    <s v="Banco G&amp;T C"/>
    <s v="GTQ"/>
    <n v="50"/>
    <m/>
    <m/>
    <m/>
    <n v="50"/>
    <m/>
    <n v="1"/>
    <n v="50"/>
    <m/>
    <m/>
    <m/>
    <s v="MELVA ROSALIA PEREZ GARCIA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s v="LA CURACAO"/>
    <x v="0"/>
    <x v="0"/>
    <n v="13"/>
    <x v="0"/>
    <n v="6902"/>
    <s v="12519013690220220729"/>
    <m/>
    <m/>
    <s v="82B2D9F33744419823"/>
    <m/>
    <s v="Factura Consumidor Final"/>
    <x v="0"/>
    <x v="0"/>
    <x v="0"/>
    <n v="1972"/>
    <s v="125192052201Q6"/>
    <s v=""/>
    <s v="HUGO ALEXANDER  SAZO HERNANDEZ "/>
    <s v="BANCO INDUSTRIAL, S.A.|000-063"/>
    <m/>
    <s v="Visanet3Pagos"/>
  </r>
  <r>
    <s v="LA CURACAO"/>
    <x v="0"/>
    <x v="0"/>
    <n v="13"/>
    <x v="0"/>
    <n v="6939"/>
    <s v="12519013693920220729"/>
    <m/>
    <m/>
    <s v="9131EC3E1441024447"/>
    <m/>
    <s v="Factura Consumidor Final"/>
    <x v="0"/>
    <x v="0"/>
    <x v="0"/>
    <n v="797"/>
    <s v="125192542201TS"/>
    <s v=""/>
    <s v="DANIEL   MOLINA  "/>
    <s v="BANCO DE DESARROLLO RURAL, S.A"/>
    <m/>
    <s v="Card"/>
  </r>
  <r>
    <s v="LA CURACAO"/>
    <x v="0"/>
    <x v="0"/>
    <n v="13"/>
    <x v="0"/>
    <n v="6906"/>
    <s v="12519013690620220729"/>
    <m/>
    <m/>
    <s v="2BF981AC3107143799"/>
    <m/>
    <s v="Factura Consumidor Final"/>
    <x v="1"/>
    <x v="1"/>
    <x v="0"/>
    <n v="197.17"/>
    <s v=""/>
    <s v=""/>
    <s v="HUGO   FLORES  "/>
    <m/>
    <m/>
    <m/>
  </r>
  <r>
    <s v="LA CURACAO"/>
    <x v="0"/>
    <x v="0"/>
    <n v="13"/>
    <x v="0"/>
    <n v="6921"/>
    <s v="12519013692120220729"/>
    <m/>
    <m/>
    <s v="BDB862B12725529807"/>
    <m/>
    <s v="Factura Consumidor Final"/>
    <x v="1"/>
    <x v="1"/>
    <x v="0"/>
    <n v="25"/>
    <s v=""/>
    <s v=""/>
    <m/>
    <m/>
    <m/>
    <m/>
  </r>
  <r>
    <s v="LA CURACAO"/>
    <x v="0"/>
    <x v="0"/>
    <n v="13"/>
    <x v="0"/>
    <n v="6930"/>
    <s v="12519013693020220729"/>
    <m/>
    <m/>
    <s v="2B4EF84F392318525"/>
    <m/>
    <s v="Factura Consumidor Final"/>
    <x v="0"/>
    <x v="1"/>
    <x v="0"/>
    <n v="747"/>
    <s v="125192172200X1"/>
    <s v=""/>
    <s v="GLADYS   CHANCHAVAC  "/>
    <m/>
    <m/>
    <m/>
  </r>
  <r>
    <s v="LA CURACAO"/>
    <x v="0"/>
    <x v="0"/>
    <n v="13"/>
    <x v="0"/>
    <n v="6911"/>
    <s v="12519013691120220729"/>
    <m/>
    <m/>
    <s v="B194B818532628841"/>
    <m/>
    <s v="Factura Consumidor Final"/>
    <x v="0"/>
    <x v="0"/>
    <x v="0"/>
    <n v="597"/>
    <s v="125192542201TQ"/>
    <s v=""/>
    <s v="JORGE   BOCH  "/>
    <s v="BANCO DE DESARROLLO RURAL, S.A"/>
    <m/>
    <s v="Card"/>
  </r>
  <r>
    <s v="LA CURACAO"/>
    <x v="0"/>
    <x v="0"/>
    <n v="13"/>
    <x v="0"/>
    <n v="6911"/>
    <s v="12519013691120220729"/>
    <m/>
    <m/>
    <s v="B194B818532628841"/>
    <m/>
    <s v="Factura Consumidor Final"/>
    <x v="0"/>
    <x v="0"/>
    <x v="0"/>
    <n v="3200"/>
    <s v="125192542201TQ"/>
    <s v=""/>
    <s v="JORGE   BOCH  "/>
    <s v="BANCO DE DESARROLLO RURAL, S.A"/>
    <m/>
    <s v="Visanet10Pagos"/>
  </r>
  <r>
    <s v="LA CURACAO"/>
    <x v="0"/>
    <x v="0"/>
    <n v="13"/>
    <x v="0"/>
    <n v="6896"/>
    <s v="12519013689620220729"/>
    <m/>
    <m/>
    <s v="3F1998773589752663"/>
    <m/>
    <s v="Factura Consumidor Final"/>
    <x v="0"/>
    <x v="1"/>
    <x v="0"/>
    <n v="420"/>
    <s v="125192052201Q3"/>
    <s v=""/>
    <s v="AURA  MARINA  BOROR YOC"/>
    <m/>
    <m/>
    <m/>
  </r>
  <r>
    <s v="LA CURACAO"/>
    <x v="0"/>
    <x v="0"/>
    <n v="13"/>
    <x v="0"/>
    <n v="6932"/>
    <s v="12519013693220220729"/>
    <m/>
    <m/>
    <s v="16A4342F4100670384"/>
    <m/>
    <s v="Factura Consumidor Final"/>
    <x v="1"/>
    <x v="1"/>
    <x v="0"/>
    <n v="25"/>
    <s v=""/>
    <s v=""/>
    <m/>
    <m/>
    <m/>
    <m/>
  </r>
  <r>
    <s v="LA CURACAO"/>
    <x v="0"/>
    <x v="0"/>
    <n v="13"/>
    <x v="0"/>
    <n v="6936"/>
    <s v="12519013693620220729"/>
    <m/>
    <m/>
    <s v="85F944441316635272"/>
    <m/>
    <s v="Factura Consumidor Final"/>
    <x v="1"/>
    <x v="1"/>
    <x v="0"/>
    <n v="287"/>
    <s v=""/>
    <s v=""/>
    <s v="DENIS   GOMEZ  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456FEC-4E1F-46CF-9543-90B29A913ED2}" name="Tbl Dinamica Tarjetas" cacheId="88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C8" firstHeaderRow="1" firstDataRow="2" firstDataCol="1"/>
  <pivotFields count="25"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numFmtId="17" showAll="0"/>
    <pivotField axis="axisRow" showAll="0">
      <items count="2"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3">
    <field x="2"/>
    <field x="5"/>
    <field x="8"/>
  </rowFields>
  <rowItems count="4">
    <i>
      <x/>
    </i>
    <i r="1">
      <x/>
    </i>
    <i r="2">
      <x/>
    </i>
    <i t="grand">
      <x/>
    </i>
  </rowItems>
  <colFields count="1">
    <field x="17"/>
  </colFields>
  <colItems count="2">
    <i>
      <x/>
    </i>
    <i t="grand">
      <x/>
    </i>
  </colItems>
  <dataFields count="1">
    <dataField name="Suma de MONTO" fld="11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E117C8-C2D2-45B8-A7DF-E73904A89F90}" name="Tbl Dinamica Depositos" cacheId="89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outline="1" outlineData="1" multipleFieldFilters="0">
  <location ref="A3:E8" firstHeaderRow="1" firstDataRow="2" firstDataCol="1"/>
  <pivotFields count="27">
    <pivotField axis="axisCol" showAll="0">
      <items count="4">
        <item x="2"/>
        <item x="0"/>
        <item x="1"/>
        <item t="default"/>
      </items>
    </pivotField>
    <pivotField numFmtId="17" showAll="0"/>
    <pivotField showAll="0"/>
    <pivotField showAll="0"/>
    <pivotField axis="axisRow" showAll="0">
      <items count="2">
        <item x="0"/>
        <item t="default"/>
      </items>
    </pivotField>
    <pivotField showAll="0"/>
    <pivotField axis="axisRow" showAll="0">
      <items count="2">
        <item x="0"/>
        <item t="default"/>
      </items>
    </pivotField>
    <pivotField showAll="0"/>
    <pivotField showAll="0"/>
    <pivotField axis="axisRow" showAll="0">
      <items count="2"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3">
    <field x="4"/>
    <field x="6"/>
    <field x="9"/>
  </rowFields>
  <rowItems count="4">
    <i>
      <x/>
    </i>
    <i r="1">
      <x/>
    </i>
    <i r="2">
      <x/>
    </i>
    <i t="grand">
      <x/>
    </i>
  </rowItems>
  <colFields count="1">
    <field x="0"/>
  </colFields>
  <colItems count="4">
    <i>
      <x/>
    </i>
    <i>
      <x v="1"/>
    </i>
    <i>
      <x v="2"/>
    </i>
    <i t="grand">
      <x/>
    </i>
  </colItems>
  <dataFields count="1">
    <dataField name="Suma de Monto" fld="14" baseField="0" baseItem="0" numFmtId="3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8311F-BF7C-4194-A561-BA9424C2E696}" name="Tbl Dinamica Transaccional" cacheId="90" applyNumberFormats="0" applyBorderFormats="0" applyFontFormats="0" applyPatternFormats="0" applyAlignmentFormats="0" applyWidthHeightFormats="1" dataCaption="Valores" updatedVersion="8" minRefreshableVersion="3" showCalcMbrs="0" useAutoFormatting="1" itemPrintTitles="1" createdVersion="3" indent="0" compact="0" compactData="0" multipleFieldFilters="0">
  <location ref="A3:H12" firstHeaderRow="1" firstDataRow="2" firstDataCol="5"/>
  <pivotFields count="22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1"/>
    <field x="2"/>
    <field x="4"/>
    <field x="12"/>
    <field x="14"/>
  </rowFields>
  <rowItems count="8">
    <i>
      <x/>
      <x/>
      <x/>
      <x/>
      <x/>
    </i>
    <i t="default" r="3">
      <x/>
    </i>
    <i r="3">
      <x v="1"/>
      <x/>
    </i>
    <i t="default" r="3">
      <x v="1"/>
    </i>
    <i t="default" r="2">
      <x/>
    </i>
    <i t="default" r="1">
      <x/>
    </i>
    <i t="default">
      <x/>
    </i>
    <i t="grand">
      <x/>
    </i>
  </rowItems>
  <colFields count="1">
    <field x="13"/>
  </colFields>
  <colItems count="3">
    <i>
      <x/>
    </i>
    <i>
      <x v="1"/>
    </i>
    <i t="grand">
      <x/>
    </i>
  </colItems>
  <dataFields count="1">
    <dataField name="Suma de MONTO" fld="15" baseField="0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6E2BA0-2768-4107-9314-BC4FB21FEBF0}" name="Tabla4" displayName="Tabla4" ref="A1:R9" totalsRowShown="0">
  <autoFilter ref="A1:R9" xr:uid="{096E2BA0-2768-4107-9314-BC4FB21FEBF0}"/>
  <tableColumns count="18">
    <tableColumn id="1" xr3:uid="{721A6EAD-2D7E-4648-A3D7-AA5C25C2AF02}" name="TIENDA"/>
    <tableColumn id="2" xr3:uid="{E7C0CAAE-071F-4181-8B49-4ABC65D217D9}" name="CDA"/>
    <tableColumn id="3" xr3:uid="{37266DCF-21A3-4559-85EF-9718C7B5ACE9}" name="FECHA TRANSACCION"/>
    <tableColumn id="4" xr3:uid="{BC967475-3F03-4935-9AD8-C42340242C4D}" name="TRANSACCIONES CAJA"/>
    <tableColumn id="5" xr3:uid="{674661FF-C823-45FA-8B86-3599B8E6B43A}" name="CODIGO DE RAZON"/>
    <tableColumn id="6" xr3:uid="{513CCEEF-CE41-420D-B2A2-2E34868BF0A9}" name="Efectivo"/>
    <tableColumn id="7" xr3:uid="{F5D717E1-91A7-4F52-9E3F-C7097513C8D1}" name="Tarjeta de Credito"/>
    <tableColumn id="8" xr3:uid="{301DA86F-C966-45D0-845D-9600ECB2F6A5}" name="Total general"/>
    <tableColumn id="9" xr3:uid="{48FF07CC-C0D3-4F16-8C9E-2AA9FEBABB48}" name="CIA"/>
    <tableColumn id="10" xr3:uid="{F93DE7A9-2893-49E9-AD04-467F98A93953}" name="INHOUSE DEP-TC"/>
    <tableColumn id="11" xr3:uid="{772FB669-55A6-4EDA-9EDF-705F0E4FE923}" name="INGRESOS CORTE DE CAJA"/>
    <tableColumn id="12" xr3:uid="{4AF83FCF-4707-42AF-8166-03D745533336}" name="CIERRE P.O.S."/>
    <tableColumn id="13" xr3:uid="{A483EEA8-074E-43ED-8ED1-B9CBBD8216B2}" name="VENTAS TC INTERNET"/>
    <tableColumn id="14" xr3:uid="{48A0AC9E-9D05-45BC-83B4-FDDD432B981C}" name="VISALINK"/>
    <tableColumn id="15" xr3:uid="{CF07D141-B4B5-4135-86B7-AD82388037A3}" name="TRASLADOS"/>
    <tableColumn id="16" xr3:uid="{D687DBDA-4CC5-4F18-8519-173B55191268}" name="DIFERENCIA"/>
    <tableColumn id="17" xr3:uid="{AAC3515C-C196-460B-91DB-2B572386BCB8}" name="OBSERVACIÓN"/>
    <tableColumn id="18" xr3:uid="{A85D19C9-491D-4950-97AD-F730C18EE4EA}" name="Columna1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EE7175-48C2-44D4-A835-4CC9C1D1E249}" name="Tabla1" displayName="Tabla1" ref="A1:Y9" totalsRowShown="0" headerRowDxfId="11" headerRowBorderDxfId="10" tableBorderDxfId="9">
  <autoFilter ref="A1:Y9" xr:uid="{7BEE7175-48C2-44D4-A835-4CC9C1D1E249}"/>
  <tableColumns count="25">
    <tableColumn id="1" xr3:uid="{F0B16E3D-783E-4982-8DCE-0562E83E6F3C}" name="NÚMERO TRANSACCION"/>
    <tableColumn id="2" xr3:uid="{26DA685E-1AF1-4AC6-8BCC-3BA4D18B0C73}" name="DESC CUENTA"/>
    <tableColumn id="3" xr3:uid="{2A97846E-7E43-4B46-A617-8C6FC55A3A92}" name="CENTRO ANALISIS"/>
    <tableColumn id="4" xr3:uid="{D3503E07-33B2-40F1-B1D0-4A903EF501C8}" name="RI"/>
    <tableColumn id="5" xr3:uid="{9AF92DEE-D4FC-46B0-9E2C-AB1CDBDC09A3}" name="NO CAJA"/>
    <tableColumn id="6" xr3:uid="{4F1EE5AB-37F4-4437-8898-17BB74C29A36}" name="DESC ALMACEN"/>
    <tableColumn id="7" xr3:uid="{54195DA9-A36E-475A-91D8-0F9510994EE5}" name="REFERENCIA"/>
    <tableColumn id="8" xr3:uid="{DD319F76-A8AE-4BA6-B481-5DA2E5420F9F}" name="PERIODO CONTABLE" dataDxfId="8"/>
    <tableColumn id="9" xr3:uid="{78A00C11-DFD6-4994-A163-E802EEB03CEC}" name="FECHA AUTORIZACIÓN"/>
    <tableColumn id="10" xr3:uid="{B56733C2-FEE4-4835-B7A6-9D6A883486DC}" name="TIPO PROMOCIÓN"/>
    <tableColumn id="11" xr3:uid="{EBDFB684-4F2F-4F51-AD9E-423FEBBF2A11}" name="MONEDA"/>
    <tableColumn id="12" xr3:uid="{99538ACB-A716-4EA9-9468-57BF87D1E8C5}" name="MONTO"/>
    <tableColumn id="13" xr3:uid="{5227283A-B8BC-4FAF-BC7F-7EB3B9476FC2}" name="NUMERO CONFIRMADO"/>
    <tableColumn id="14" xr3:uid="{A666C519-CEE0-4EE4-8823-284F60B66E36}" name="Monto Confirmado"/>
    <tableColumn id="15" xr3:uid="{52C4E76E-8C56-46DD-85B2-3D747958F4C5}" name="Diferencia"/>
    <tableColumn id="16" xr3:uid="{04A02CF3-A353-4C0E-A84C-03A2E224E897}" name="TASA DE CAMBIO"/>
    <tableColumn id="17" xr3:uid="{0F84732A-816C-434C-B6CD-AB3CF9969F84}" name="MONTO MNL"/>
    <tableColumn id="18" xr3:uid="{57AE8640-8ECA-41D8-96F4-6ACD15AAAFCE}" name="ESTADO"/>
    <tableColumn id="19" xr3:uid="{293A7328-0982-4C97-ABE3-941F94635772}" name="FECHA BANCO"/>
    <tableColumn id="20" xr3:uid="{FD6A85C0-2412-4E4A-A9A8-761E4225775F}" name="NÚMERO DE DEPOSITO"/>
    <tableColumn id="21" xr3:uid="{B71C59DE-EEC4-41F9-9395-A9E65D1AED95}" name="NÚMERO CCF"/>
    <tableColumn id="22" xr3:uid="{15495738-91BE-4CBF-A68E-67037824001D}" name="FECHA CONFIRMACION"/>
    <tableColumn id="23" xr3:uid="{D4CC585D-0CB4-4EFF-8A0B-C6FFBCA3682E}" name="FECHA CONTABLE"/>
    <tableColumn id="24" xr3:uid="{4F2D0B84-2A9A-4CAF-BD76-DC3495E505BC}" name="EMPLEADO"/>
    <tableColumn id="25" xr3:uid="{2723482A-25B2-48E6-BC80-B822528B6FB3}" name="ACTUALIZADO POR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EDFE57-8F16-40E6-BCC8-7CF5D3E22727}" name="Tabla2" displayName="Tabla2" ref="A1:AA4" totalsRowShown="0" headerRowDxfId="7" headerRowBorderDxfId="6" tableBorderDxfId="5">
  <autoFilter ref="A1:AA4" xr:uid="{C2EDFE57-8F16-40E6-BCC8-7CF5D3E22727}"/>
  <tableColumns count="27">
    <tableColumn id="1" xr3:uid="{80FC6A83-9BF9-4401-AC8D-A324677191D7}" name="Compañia"/>
    <tableColumn id="2" xr3:uid="{6BEA0555-4715-4394-9BE0-D0CFE966B222}" name="Período" dataDxfId="4"/>
    <tableColumn id="3" xr3:uid="{612CEA59-5C1D-4E6D-9CD3-F4C6BF99C158}" name="Tipo"/>
    <tableColumn id="4" xr3:uid="{4C08F480-C206-41D4-8AAB-6DBD5A728184}" name="Número Transacción"/>
    <tableColumn id="5" xr3:uid="{1C922C2C-C82C-4637-8D66-7217E5BBF853}" name="Centro Analisis"/>
    <tableColumn id="6" xr3:uid="{8FFB4998-9D2A-48BD-A5BA-AAE596EB5C11}" name="Tienda"/>
    <tableColumn id="7" xr3:uid="{05C9EF15-1B6B-42A2-84B9-9E16BC033F31}" name="Desc Almacen"/>
    <tableColumn id="8" xr3:uid="{C96FC02B-F953-40B0-AD9D-7912541E1F63}" name="Caja"/>
    <tableColumn id="9" xr3:uid="{436142A5-60BA-4578-A9DE-EA924E2D6855}" name="Estado"/>
    <tableColumn id="10" xr3:uid="{B1AD5000-4928-4221-BA9D-61BF744476BF}" name="Fecha deposito"/>
    <tableColumn id="11" xr3:uid="{F90553E3-0542-42F4-AE28-9CFFB9C4A359}" name="Numero Deposito"/>
    <tableColumn id="12" xr3:uid="{4ADD2EBD-DF72-4ED3-9A21-8ED453AFB0FF}" name="Numero Cuenta"/>
    <tableColumn id="13" xr3:uid="{D5C325D5-CBBE-4A59-BA49-38967137D4C2}" name="Desc Cuenta"/>
    <tableColumn id="14" xr3:uid="{CA14855B-2C90-4913-A2B7-FA42F1A25148}" name="Moneda"/>
    <tableColumn id="15" xr3:uid="{B9F35878-0888-4D38-9FA0-8E7B4BAFA5BB}" name="Monto"/>
    <tableColumn id="16" xr3:uid="{2CF9BFE9-10D0-4A40-9562-F7A5A0A33AE7}" name="Fecha Banco"/>
    <tableColumn id="17" xr3:uid="{DC3D768F-0CFD-4572-8317-FDB95EBBAF5A}" name="Número Déposito Confirmado"/>
    <tableColumn id="18" xr3:uid="{4A99116C-65F7-4998-A833-47FE8A6FF0E5}" name="Número Cuenta Confirmada"/>
    <tableColumn id="19" xr3:uid="{1277405B-D758-4D40-B8A5-AF40823DDD2D}" name="Monto Confirmado"/>
    <tableColumn id="20" xr3:uid="{473A1E15-56F4-4359-8B38-66DBC44F8FF8}" name="Diferencia"/>
    <tableColumn id="21" xr3:uid="{EB8A91B8-6FD6-4E3A-8AD7-EB2D6BFAADD6}" name="Tasa de Cambio"/>
    <tableColumn id="22" xr3:uid="{70EE12AD-AC11-4EE2-82A0-D7CC3FCFEE7E}" name="Monto MNL"/>
    <tableColumn id="23" xr3:uid="{BAC1728D-74C3-40BB-985B-48929DD9CBDF}" name="Motivo"/>
    <tableColumn id="24" xr3:uid="{77A4715F-950A-4368-8A72-2769760366E5}" name="Fecha confirmacion"/>
    <tableColumn id="25" xr3:uid="{C9E4AC17-C283-46D3-8C63-9784EAAA9166}" name="Fecha Contabilización"/>
    <tableColumn id="26" xr3:uid="{CFF0B2D8-BE5F-4C97-A443-9C659E0752BA}" name="Empleado"/>
    <tableColumn id="27" xr3:uid="{D96BAD3A-A9EF-4396-8506-FEDD71D84363}" name="Actualizado por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E208B67-D153-48A6-B20B-1F6F1AFB0141}" name="Tabla3" displayName="Tabla3" ref="A1:V11" totalsRowShown="0" headerRowDxfId="3" headerRowBorderDxfId="2" tableBorderDxfId="1">
  <autoFilter ref="A1:V11" xr:uid="{6E208B67-D153-48A6-B20B-1F6F1AFB0141}"/>
  <tableColumns count="22">
    <tableColumn id="1" xr3:uid="{D60D2014-6871-4492-833B-4832BD04A1AC}" name="CADENA"/>
    <tableColumn id="2" xr3:uid="{FFEB9B99-B107-422D-BDC9-AC62CAE507DD}" name="TIENDA"/>
    <tableColumn id="3" xr3:uid="{7BEDE782-A048-4329-A3F0-EE9FDBD54A50}" name="CDA"/>
    <tableColumn id="4" xr3:uid="{53659073-11C7-48FF-AFF3-B7B8FF72B462}" name="CAJA"/>
    <tableColumn id="5" xr3:uid="{75618C12-2A15-4A8D-A0FB-893C59D51F3E}" name="FECHA TRANSACCION" dataDxfId="0"/>
    <tableColumn id="6" xr3:uid="{CFFD38EB-1934-4B4C-8F84-1666EC6FAA71}" name="CORRELATIVO CAJA"/>
    <tableColumn id="7" xr3:uid="{1C2C1509-7041-4757-AE52-197EB924916D}" name="No. TRANSACCION"/>
    <tableColumn id="8" xr3:uid="{91381B4C-6FD7-4CE2-9142-AD8CEA2DB39B}" name="TRANSACCION ORIGINAL (Devolución)"/>
    <tableColumn id="9" xr3:uid="{74EBC437-BD73-4682-94B2-3CA3C95FDF9A}" name="TRANSACCIÓN CAJA ORIGINAL(Devolución)"/>
    <tableColumn id="10" xr3:uid="{9FE09377-43A9-4820-8242-062544E707BE}" name="No. DOCUMENTO"/>
    <tableColumn id="11" xr3:uid="{3BB9248A-DBEC-438C-91F2-1317759E1AD7}" name="NUMERO DE SOLICITUD"/>
    <tableColumn id="12" xr3:uid="{FE132D48-FBAD-4BC5-A6E1-9866E0F3BD2A}" name="TIPO DOCUMENTO"/>
    <tableColumn id="13" xr3:uid="{9340FEA6-BF1C-461B-9F7F-9EFCBFD4D3DF}" name="TRANSACCIONES CAJA"/>
    <tableColumn id="14" xr3:uid="{4F3AD169-C3F9-4ADD-AFC8-799CCE7B2623}" name="FORMA DE PAGO"/>
    <tableColumn id="15" xr3:uid="{45F17880-F6B5-47D4-AEC4-5D648292FA3B}" name="CODIGO DE RAZON"/>
    <tableColumn id="16" xr3:uid="{C54C8E96-48F0-4962-A4A9-42883CF19F2D}" name="MONTO"/>
    <tableColumn id="17" xr3:uid="{24E5C25A-97C4-440D-97E4-69731FA1A572}" name="NUM_COTIZACON"/>
    <tableColumn id="18" xr3:uid="{5174A85F-EA90-4ED7-B1B6-755B77B371F8}" name="NUM_CUENTA"/>
    <tableColumn id="19" xr3:uid="{F431F852-E07D-4B8C-B06F-6240769278D3}" name="NOMBRE_CLIENTE"/>
    <tableColumn id="20" xr3:uid="{FE157219-D7E6-4F05-8338-51C1816300AD}" name="BANCO"/>
    <tableColumn id="21" xr3:uid="{2ED5516A-7DCB-4A0F-BDAC-37E938468E65}" name="AUTORIZACION"/>
    <tableColumn id="22" xr3:uid="{18EB252B-3369-45BD-BF2B-C8A2BBB33C69}" name="PROMOCION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6B9AD7-6B5D-4CFE-919D-F766F5F1A1DA}">
  <sheetPr codeName="Hoja2"/>
  <dimension ref="A1:R9"/>
  <sheetViews>
    <sheetView tabSelected="1" workbookViewId="0">
      <selection sqref="A1:R9"/>
    </sheetView>
  </sheetViews>
  <sheetFormatPr baseColWidth="10" defaultRowHeight="15" x14ac:dyDescent="0.25"/>
  <cols>
    <col min="3" max="3" width="22.140625" customWidth="1"/>
    <col min="4" max="4" width="22.85546875" customWidth="1"/>
    <col min="5" max="5" width="19.85546875" customWidth="1"/>
    <col min="7" max="7" width="19" customWidth="1"/>
    <col min="8" max="8" width="14.7109375" customWidth="1"/>
    <col min="10" max="10" width="18" customWidth="1"/>
    <col min="11" max="11" width="25.85546875" customWidth="1"/>
    <col min="12" max="12" width="14.85546875" customWidth="1"/>
    <col min="13" max="13" width="21.7109375" customWidth="1"/>
    <col min="15" max="15" width="13.42578125" customWidth="1"/>
    <col min="16" max="16" width="13.5703125" customWidth="1"/>
    <col min="17" max="17" width="16" customWidth="1"/>
    <col min="18" max="18" width="12" customWidth="1"/>
  </cols>
  <sheetData>
    <row r="1" spans="1:18" x14ac:dyDescent="0.25">
      <c r="A1" t="s">
        <v>51</v>
      </c>
      <c r="B1" t="s">
        <v>52</v>
      </c>
      <c r="C1" t="s">
        <v>54</v>
      </c>
      <c r="D1" t="s">
        <v>62</v>
      </c>
      <c r="E1" t="s">
        <v>64</v>
      </c>
      <c r="F1" t="s">
        <v>125</v>
      </c>
      <c r="G1" t="s">
        <v>110</v>
      </c>
      <c r="H1" t="s">
        <v>84</v>
      </c>
      <c r="I1" t="s">
        <v>153</v>
      </c>
      <c r="J1" t="s">
        <v>154</v>
      </c>
      <c r="K1" t="s">
        <v>155</v>
      </c>
      <c r="L1" t="s">
        <v>156</v>
      </c>
      <c r="M1" t="s">
        <v>157</v>
      </c>
      <c r="N1" t="s">
        <v>158</v>
      </c>
      <c r="O1" t="s">
        <v>159</v>
      </c>
      <c r="P1" t="s">
        <v>160</v>
      </c>
      <c r="Q1" t="s">
        <v>161</v>
      </c>
      <c r="R1" t="s">
        <v>164</v>
      </c>
    </row>
    <row r="2" spans="1:18" x14ac:dyDescent="0.25">
      <c r="A2" t="s">
        <v>105</v>
      </c>
      <c r="B2">
        <v>50206</v>
      </c>
      <c r="C2" s="9">
        <v>44771</v>
      </c>
      <c r="D2" t="s">
        <v>109</v>
      </c>
      <c r="E2" t="s">
        <v>147</v>
      </c>
      <c r="F2">
        <v>1167</v>
      </c>
      <c r="G2">
        <v>6566</v>
      </c>
      <c r="H2">
        <v>7733</v>
      </c>
      <c r="I2" t="s">
        <v>97</v>
      </c>
    </row>
    <row r="3" spans="1:18" x14ac:dyDescent="0.25">
      <c r="A3" t="s">
        <v>105</v>
      </c>
      <c r="B3">
        <v>50206</v>
      </c>
      <c r="C3" s="9">
        <v>44771</v>
      </c>
      <c r="D3" t="s">
        <v>148</v>
      </c>
      <c r="F3">
        <v>1167</v>
      </c>
      <c r="G3">
        <v>6566</v>
      </c>
      <c r="H3">
        <v>7733</v>
      </c>
      <c r="I3" t="s">
        <v>162</v>
      </c>
    </row>
    <row r="4" spans="1:18" x14ac:dyDescent="0.25">
      <c r="A4" t="s">
        <v>105</v>
      </c>
      <c r="B4">
        <v>50206</v>
      </c>
      <c r="C4" s="9">
        <v>44771</v>
      </c>
      <c r="D4" t="s">
        <v>124</v>
      </c>
      <c r="E4" t="s">
        <v>147</v>
      </c>
      <c r="F4">
        <v>534.16999999999996</v>
      </c>
      <c r="H4">
        <v>534.16999999999996</v>
      </c>
      <c r="I4" t="s">
        <v>163</v>
      </c>
    </row>
    <row r="5" spans="1:18" x14ac:dyDescent="0.25">
      <c r="A5" t="s">
        <v>105</v>
      </c>
      <c r="B5">
        <v>50206</v>
      </c>
      <c r="C5" s="9">
        <v>44771</v>
      </c>
      <c r="D5" t="s">
        <v>149</v>
      </c>
      <c r="F5">
        <v>534.16999999999996</v>
      </c>
      <c r="H5">
        <v>534.16999999999996</v>
      </c>
    </row>
    <row r="6" spans="1:18" x14ac:dyDescent="0.25">
      <c r="A6" t="s">
        <v>105</v>
      </c>
      <c r="B6">
        <v>50206</v>
      </c>
      <c r="C6" t="s">
        <v>150</v>
      </c>
      <c r="F6">
        <v>1701.17</v>
      </c>
      <c r="G6">
        <v>6566</v>
      </c>
      <c r="H6">
        <v>8267.17</v>
      </c>
      <c r="I6" t="s">
        <v>87</v>
      </c>
    </row>
    <row r="7" spans="1:18" x14ac:dyDescent="0.25">
      <c r="A7" t="s">
        <v>105</v>
      </c>
      <c r="B7" t="s">
        <v>151</v>
      </c>
      <c r="F7">
        <v>1701.17</v>
      </c>
      <c r="G7">
        <v>6566</v>
      </c>
      <c r="H7">
        <v>8267.17</v>
      </c>
      <c r="I7" t="s">
        <v>97</v>
      </c>
    </row>
    <row r="8" spans="1:18" x14ac:dyDescent="0.25">
      <c r="A8" t="s">
        <v>152</v>
      </c>
      <c r="F8">
        <v>1701.17</v>
      </c>
      <c r="G8">
        <v>6566</v>
      </c>
      <c r="H8">
        <v>8267.17</v>
      </c>
      <c r="I8" t="s">
        <v>162</v>
      </c>
    </row>
    <row r="9" spans="1:18" x14ac:dyDescent="0.25">
      <c r="A9" t="s">
        <v>84</v>
      </c>
      <c r="F9">
        <v>1701.17</v>
      </c>
      <c r="G9">
        <v>6566</v>
      </c>
      <c r="H9">
        <v>8267.17</v>
      </c>
      <c r="I9" t="s">
        <v>163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DB702-5A4D-448D-9EC1-C60CBBB24872}">
  <dimension ref="A3:C8"/>
  <sheetViews>
    <sheetView workbookViewId="0"/>
  </sheetViews>
  <sheetFormatPr baseColWidth="10" defaultRowHeight="15" x14ac:dyDescent="0.25"/>
  <cols>
    <col min="1" max="1" width="35" bestFit="1" customWidth="1"/>
    <col min="2" max="2" width="22.42578125" bestFit="1" customWidth="1"/>
    <col min="3" max="3" width="12.5703125" bestFit="1" customWidth="1"/>
  </cols>
  <sheetData>
    <row r="3" spans="1:3" x14ac:dyDescent="0.25">
      <c r="A3" s="3" t="s">
        <v>86</v>
      </c>
      <c r="B3" s="3" t="s">
        <v>83</v>
      </c>
    </row>
    <row r="4" spans="1:3" x14ac:dyDescent="0.25">
      <c r="A4" s="3" t="s">
        <v>85</v>
      </c>
      <c r="B4" t="s">
        <v>76</v>
      </c>
      <c r="C4" t="s">
        <v>84</v>
      </c>
    </row>
    <row r="5" spans="1:3" x14ac:dyDescent="0.25">
      <c r="A5" s="4">
        <v>50206</v>
      </c>
      <c r="B5" s="7">
        <v>10254</v>
      </c>
      <c r="C5" s="7">
        <v>10254</v>
      </c>
    </row>
    <row r="6" spans="1:3" x14ac:dyDescent="0.25">
      <c r="A6" s="5" t="s">
        <v>72</v>
      </c>
      <c r="B6" s="7">
        <v>10254</v>
      </c>
      <c r="C6" s="7">
        <v>10254</v>
      </c>
    </row>
    <row r="7" spans="1:3" x14ac:dyDescent="0.25">
      <c r="A7" s="6" t="s">
        <v>73</v>
      </c>
      <c r="B7" s="7">
        <v>10254</v>
      </c>
      <c r="C7" s="7">
        <v>10254</v>
      </c>
    </row>
    <row r="8" spans="1:3" x14ac:dyDescent="0.25">
      <c r="A8" s="4" t="s">
        <v>84</v>
      </c>
      <c r="B8" s="7">
        <v>10254</v>
      </c>
      <c r="C8" s="7">
        <v>10254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Y9"/>
  <sheetViews>
    <sheetView workbookViewId="0">
      <selection sqref="A1:Y9"/>
    </sheetView>
  </sheetViews>
  <sheetFormatPr baseColWidth="10" defaultColWidth="9.140625" defaultRowHeight="15" x14ac:dyDescent="0.25"/>
  <cols>
    <col min="1" max="1" width="23.42578125" customWidth="1"/>
    <col min="2" max="2" width="15.5703125" customWidth="1"/>
    <col min="3" max="3" width="18.5703125" customWidth="1"/>
    <col min="4" max="4" width="12" customWidth="1"/>
    <col min="5" max="5" width="11" customWidth="1"/>
    <col min="6" max="6" width="17.140625" customWidth="1"/>
    <col min="7" max="7" width="13.42578125" customWidth="1"/>
    <col min="8" max="8" width="20.5703125" customWidth="1"/>
    <col min="9" max="9" width="22.7109375" customWidth="1"/>
    <col min="10" max="10" width="18.42578125" customWidth="1"/>
    <col min="11" max="11" width="10.85546875" customWidth="1"/>
    <col min="12" max="12" width="9.7109375" customWidth="1"/>
    <col min="13" max="13" width="23" customWidth="1"/>
    <col min="14" max="14" width="18.5703125" customWidth="1"/>
    <col min="15" max="15" width="11.85546875" customWidth="1"/>
    <col min="16" max="16" width="18" customWidth="1"/>
    <col min="17" max="17" width="14.5703125" customWidth="1"/>
    <col min="18" max="18" width="10" customWidth="1"/>
    <col min="19" max="19" width="15.7109375" customWidth="1"/>
    <col min="20" max="20" width="22.5703125" customWidth="1"/>
    <col min="21" max="21" width="15.5703125" customWidth="1"/>
    <col min="22" max="22" width="23" customWidth="1"/>
    <col min="23" max="23" width="18.5703125" customWidth="1"/>
    <col min="24" max="24" width="18.28515625" customWidth="1"/>
    <col min="25" max="25" width="19.5703125" customWidth="1"/>
  </cols>
  <sheetData>
    <row r="1" spans="1:25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</row>
    <row r="2" spans="1:25" x14ac:dyDescent="0.25">
      <c r="A2">
        <v>1.2519013693920201E+19</v>
      </c>
      <c r="B2" t="s">
        <v>71</v>
      </c>
      <c r="C2">
        <v>50206</v>
      </c>
      <c r="D2">
        <v>519</v>
      </c>
      <c r="E2">
        <v>13</v>
      </c>
      <c r="F2" t="s">
        <v>72</v>
      </c>
      <c r="G2">
        <v>115134</v>
      </c>
      <c r="H2" s="1">
        <v>44743</v>
      </c>
      <c r="I2" t="s">
        <v>73</v>
      </c>
      <c r="J2" t="s">
        <v>74</v>
      </c>
      <c r="K2" t="s">
        <v>75</v>
      </c>
      <c r="L2">
        <v>797</v>
      </c>
      <c r="P2">
        <v>1</v>
      </c>
      <c r="Q2">
        <v>797</v>
      </c>
      <c r="R2" t="s">
        <v>76</v>
      </c>
      <c r="X2" t="s">
        <v>77</v>
      </c>
      <c r="Y2" t="s">
        <v>78</v>
      </c>
    </row>
    <row r="3" spans="1:25" x14ac:dyDescent="0.25">
      <c r="A3">
        <v>1.2519013690520199E+19</v>
      </c>
      <c r="B3" t="s">
        <v>71</v>
      </c>
      <c r="C3">
        <v>50206</v>
      </c>
      <c r="D3">
        <v>519</v>
      </c>
      <c r="E3">
        <v>13</v>
      </c>
      <c r="F3" t="s">
        <v>72</v>
      </c>
      <c r="G3">
        <v>13259</v>
      </c>
      <c r="H3" s="1">
        <v>44743</v>
      </c>
      <c r="I3" t="s">
        <v>73</v>
      </c>
      <c r="J3" t="s">
        <v>74</v>
      </c>
      <c r="K3" t="s">
        <v>75</v>
      </c>
      <c r="L3">
        <v>1262</v>
      </c>
      <c r="P3">
        <v>1</v>
      </c>
      <c r="Q3">
        <v>1262</v>
      </c>
      <c r="R3" t="s">
        <v>76</v>
      </c>
      <c r="X3" t="s">
        <v>77</v>
      </c>
      <c r="Y3" t="s">
        <v>78</v>
      </c>
    </row>
    <row r="4" spans="1:25" x14ac:dyDescent="0.25">
      <c r="A4">
        <v>1.25190136911202E+19</v>
      </c>
      <c r="B4" t="s">
        <v>71</v>
      </c>
      <c r="C4">
        <v>50206</v>
      </c>
      <c r="D4">
        <v>519</v>
      </c>
      <c r="E4">
        <v>13</v>
      </c>
      <c r="F4" t="s">
        <v>72</v>
      </c>
      <c r="G4">
        <v>873622</v>
      </c>
      <c r="H4" s="1">
        <v>44743</v>
      </c>
      <c r="I4" t="s">
        <v>73</v>
      </c>
      <c r="J4" t="s">
        <v>74</v>
      </c>
      <c r="K4" t="s">
        <v>75</v>
      </c>
      <c r="L4">
        <v>597</v>
      </c>
      <c r="P4">
        <v>1</v>
      </c>
      <c r="Q4">
        <v>597</v>
      </c>
      <c r="R4" t="s">
        <v>76</v>
      </c>
      <c r="X4" t="s">
        <v>77</v>
      </c>
      <c r="Y4" t="s">
        <v>78</v>
      </c>
    </row>
    <row r="5" spans="1:25" x14ac:dyDescent="0.25">
      <c r="A5">
        <v>1.25190136911202E+19</v>
      </c>
      <c r="B5" t="s">
        <v>71</v>
      </c>
      <c r="C5">
        <v>50206</v>
      </c>
      <c r="D5">
        <v>519</v>
      </c>
      <c r="E5">
        <v>13</v>
      </c>
      <c r="F5" t="s">
        <v>72</v>
      </c>
      <c r="G5">
        <v>873527</v>
      </c>
      <c r="H5" s="1">
        <v>44743</v>
      </c>
      <c r="I5" t="s">
        <v>73</v>
      </c>
      <c r="J5" t="s">
        <v>79</v>
      </c>
      <c r="K5" t="s">
        <v>75</v>
      </c>
      <c r="L5">
        <v>3200</v>
      </c>
      <c r="P5">
        <v>1</v>
      </c>
      <c r="Q5">
        <v>3200</v>
      </c>
      <c r="R5" t="s">
        <v>76</v>
      </c>
      <c r="X5" t="s">
        <v>77</v>
      </c>
      <c r="Y5" t="s">
        <v>78</v>
      </c>
    </row>
    <row r="6" spans="1:25" x14ac:dyDescent="0.25">
      <c r="A6">
        <v>1.2519013689920201E+19</v>
      </c>
      <c r="B6" t="s">
        <v>80</v>
      </c>
      <c r="C6">
        <v>50206</v>
      </c>
      <c r="D6">
        <v>519</v>
      </c>
      <c r="E6">
        <v>13</v>
      </c>
      <c r="F6" t="s">
        <v>72</v>
      </c>
      <c r="G6">
        <v>170849</v>
      </c>
      <c r="H6" s="1">
        <v>44743</v>
      </c>
      <c r="I6" t="s">
        <v>73</v>
      </c>
      <c r="J6" t="s">
        <v>74</v>
      </c>
      <c r="K6" t="s">
        <v>75</v>
      </c>
      <c r="L6">
        <v>1000</v>
      </c>
      <c r="P6">
        <v>1</v>
      </c>
      <c r="Q6">
        <v>1000</v>
      </c>
      <c r="R6" t="s">
        <v>76</v>
      </c>
      <c r="X6" t="s">
        <v>81</v>
      </c>
      <c r="Y6" t="s">
        <v>78</v>
      </c>
    </row>
    <row r="7" spans="1:25" x14ac:dyDescent="0.25">
      <c r="A7">
        <v>1.2519013692020199E+19</v>
      </c>
      <c r="B7" t="s">
        <v>71</v>
      </c>
      <c r="C7">
        <v>50206</v>
      </c>
      <c r="D7">
        <v>519</v>
      </c>
      <c r="E7">
        <v>13</v>
      </c>
      <c r="F7" t="s">
        <v>72</v>
      </c>
      <c r="G7">
        <v>24581</v>
      </c>
      <c r="H7" s="1">
        <v>44743</v>
      </c>
      <c r="I7" t="s">
        <v>73</v>
      </c>
      <c r="J7" t="s">
        <v>74</v>
      </c>
      <c r="K7" t="s">
        <v>75</v>
      </c>
      <c r="L7">
        <v>1226</v>
      </c>
      <c r="P7">
        <v>1</v>
      </c>
      <c r="Q7">
        <v>1226</v>
      </c>
      <c r="R7" t="s">
        <v>76</v>
      </c>
      <c r="X7" t="s">
        <v>77</v>
      </c>
      <c r="Y7" t="s">
        <v>78</v>
      </c>
    </row>
    <row r="8" spans="1:25" x14ac:dyDescent="0.25">
      <c r="A8">
        <v>1.25190136902202E+19</v>
      </c>
      <c r="B8" t="s">
        <v>71</v>
      </c>
      <c r="C8">
        <v>50206</v>
      </c>
      <c r="D8">
        <v>519</v>
      </c>
      <c r="E8">
        <v>13</v>
      </c>
      <c r="F8" t="s">
        <v>72</v>
      </c>
      <c r="G8">
        <v>211268</v>
      </c>
      <c r="H8" s="1">
        <v>44743</v>
      </c>
      <c r="I8" t="s">
        <v>73</v>
      </c>
      <c r="J8" t="s">
        <v>82</v>
      </c>
      <c r="K8" t="s">
        <v>75</v>
      </c>
      <c r="L8">
        <v>1972</v>
      </c>
      <c r="P8">
        <v>1</v>
      </c>
      <c r="Q8">
        <v>1972</v>
      </c>
      <c r="R8" t="s">
        <v>76</v>
      </c>
      <c r="X8" t="s">
        <v>77</v>
      </c>
      <c r="Y8" t="s">
        <v>78</v>
      </c>
    </row>
    <row r="9" spans="1:25" x14ac:dyDescent="0.25">
      <c r="A9">
        <v>1.2519013692220201E+19</v>
      </c>
      <c r="B9" t="s">
        <v>71</v>
      </c>
      <c r="C9">
        <v>50206</v>
      </c>
      <c r="D9">
        <v>519</v>
      </c>
      <c r="E9">
        <v>13</v>
      </c>
      <c r="F9" t="s">
        <v>72</v>
      </c>
      <c r="G9">
        <v>43214</v>
      </c>
      <c r="H9" s="1">
        <v>44743</v>
      </c>
      <c r="I9" t="s">
        <v>73</v>
      </c>
      <c r="J9" t="s">
        <v>74</v>
      </c>
      <c r="K9" t="s">
        <v>75</v>
      </c>
      <c r="L9">
        <v>200</v>
      </c>
      <c r="P9">
        <v>1</v>
      </c>
      <c r="Q9">
        <v>200</v>
      </c>
      <c r="R9" t="s">
        <v>76</v>
      </c>
      <c r="X9" t="s">
        <v>77</v>
      </c>
      <c r="Y9" t="s">
        <v>78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64CE6-5C03-4297-8898-AB75B7D6C059}">
  <dimension ref="A3:E8"/>
  <sheetViews>
    <sheetView workbookViewId="0"/>
  </sheetViews>
  <sheetFormatPr baseColWidth="10" defaultRowHeight="15" x14ac:dyDescent="0.25"/>
  <cols>
    <col min="1" max="1" width="35" bestFit="1" customWidth="1"/>
    <col min="2" max="2" width="27.5703125" bestFit="1" customWidth="1"/>
    <col min="3" max="3" width="11" bestFit="1" customWidth="1"/>
    <col min="4" max="4" width="12" bestFit="1" customWidth="1"/>
    <col min="5" max="5" width="12.5703125" bestFit="1" customWidth="1"/>
  </cols>
  <sheetData>
    <row r="3" spans="1:5" x14ac:dyDescent="0.25">
      <c r="A3" s="3" t="s">
        <v>103</v>
      </c>
      <c r="B3" s="3" t="s">
        <v>83</v>
      </c>
    </row>
    <row r="4" spans="1:5" x14ac:dyDescent="0.25">
      <c r="A4" s="3" t="s">
        <v>85</v>
      </c>
      <c r="B4" t="s">
        <v>99</v>
      </c>
      <c r="C4" t="s">
        <v>87</v>
      </c>
      <c r="D4" t="s">
        <v>97</v>
      </c>
      <c r="E4" t="s">
        <v>84</v>
      </c>
    </row>
    <row r="5" spans="1:5" x14ac:dyDescent="0.25">
      <c r="A5" s="4">
        <v>50206</v>
      </c>
      <c r="B5" s="7">
        <v>50</v>
      </c>
      <c r="C5" s="7">
        <v>100</v>
      </c>
      <c r="D5" s="7">
        <v>11891.04</v>
      </c>
      <c r="E5" s="7">
        <v>12041.04</v>
      </c>
    </row>
    <row r="6" spans="1:5" x14ac:dyDescent="0.25">
      <c r="A6" s="5" t="s">
        <v>72</v>
      </c>
      <c r="B6" s="7">
        <v>50</v>
      </c>
      <c r="C6" s="7">
        <v>100</v>
      </c>
      <c r="D6" s="7">
        <v>11891.04</v>
      </c>
      <c r="E6" s="7">
        <v>12041.04</v>
      </c>
    </row>
    <row r="7" spans="1:5" x14ac:dyDescent="0.25">
      <c r="A7" s="6" t="s">
        <v>73</v>
      </c>
      <c r="B7" s="7">
        <v>50</v>
      </c>
      <c r="C7" s="7">
        <v>100</v>
      </c>
      <c r="D7" s="7">
        <v>11891.04</v>
      </c>
      <c r="E7" s="7">
        <v>12041.04</v>
      </c>
    </row>
    <row r="8" spans="1:5" x14ac:dyDescent="0.25">
      <c r="A8" s="4" t="s">
        <v>84</v>
      </c>
      <c r="B8" s="7">
        <v>50</v>
      </c>
      <c r="C8" s="7">
        <v>100</v>
      </c>
      <c r="D8" s="7">
        <v>11891.04</v>
      </c>
      <c r="E8" s="7">
        <v>12041.04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5DC0-8059-4D25-BC36-0F0E76037159}">
  <sheetPr codeName="Hoja3"/>
  <dimension ref="A1:AA4"/>
  <sheetViews>
    <sheetView workbookViewId="0">
      <selection sqref="A1:AA4"/>
    </sheetView>
  </sheetViews>
  <sheetFormatPr baseColWidth="10" defaultRowHeight="15" x14ac:dyDescent="0.25"/>
  <cols>
    <col min="4" max="4" width="20.140625" customWidth="1"/>
    <col min="5" max="5" width="15.5703125" customWidth="1"/>
    <col min="7" max="7" width="14.7109375" customWidth="1"/>
    <col min="10" max="10" width="15.7109375" customWidth="1"/>
    <col min="11" max="11" width="17.42578125" customWidth="1"/>
    <col min="12" max="12" width="16.42578125" customWidth="1"/>
    <col min="13" max="13" width="13.7109375" customWidth="1"/>
    <col min="16" max="16" width="13.85546875" customWidth="1"/>
    <col min="17" max="17" width="27.5703125" customWidth="1"/>
    <col min="18" max="18" width="26.5703125" customWidth="1"/>
    <col min="19" max="19" width="18.5703125" customWidth="1"/>
    <col min="20" max="20" width="11.5703125" customWidth="1"/>
    <col min="21" max="21" width="16.28515625" customWidth="1"/>
    <col min="22" max="22" width="12.5703125" customWidth="1"/>
    <col min="24" max="24" width="19.28515625" customWidth="1"/>
    <col min="25" max="25" width="21.42578125" customWidth="1"/>
    <col min="27" max="27" width="16.28515625" customWidth="1"/>
  </cols>
  <sheetData>
    <row r="1" spans="1:27" x14ac:dyDescent="0.25">
      <c r="A1" s="2" t="s">
        <v>25</v>
      </c>
      <c r="B1" s="2" t="s">
        <v>26</v>
      </c>
      <c r="C1" s="2" t="s">
        <v>27</v>
      </c>
      <c r="D1" s="2" t="s">
        <v>28</v>
      </c>
      <c r="E1" s="2" t="s">
        <v>29</v>
      </c>
      <c r="F1" s="2" t="s">
        <v>30</v>
      </c>
      <c r="G1" s="2" t="s">
        <v>31</v>
      </c>
      <c r="H1" s="2" t="s">
        <v>32</v>
      </c>
      <c r="I1" s="2" t="s">
        <v>33</v>
      </c>
      <c r="J1" s="2" t="s">
        <v>34</v>
      </c>
      <c r="K1" s="2" t="s">
        <v>35</v>
      </c>
      <c r="L1" s="2" t="s">
        <v>36</v>
      </c>
      <c r="M1" s="2" t="s">
        <v>37</v>
      </c>
      <c r="N1" s="2" t="s">
        <v>38</v>
      </c>
      <c r="O1" s="2" t="s">
        <v>39</v>
      </c>
      <c r="P1" s="2" t="s">
        <v>40</v>
      </c>
      <c r="Q1" s="2" t="s">
        <v>41</v>
      </c>
      <c r="R1" s="2" t="s">
        <v>42</v>
      </c>
      <c r="S1" s="2" t="s">
        <v>13</v>
      </c>
      <c r="T1" s="2" t="s">
        <v>14</v>
      </c>
      <c r="U1" s="2" t="s">
        <v>43</v>
      </c>
      <c r="V1" s="2" t="s">
        <v>44</v>
      </c>
      <c r="W1" s="2" t="s">
        <v>45</v>
      </c>
      <c r="X1" s="2" t="s">
        <v>46</v>
      </c>
      <c r="Y1" s="2" t="s">
        <v>47</v>
      </c>
      <c r="Z1" s="2" t="s">
        <v>48</v>
      </c>
      <c r="AA1" s="2" t="s">
        <v>49</v>
      </c>
    </row>
    <row r="2" spans="1:27" x14ac:dyDescent="0.25">
      <c r="A2" t="s">
        <v>87</v>
      </c>
      <c r="B2" s="1">
        <v>44743</v>
      </c>
      <c r="C2" t="s">
        <v>88</v>
      </c>
      <c r="D2" s="8" t="s">
        <v>89</v>
      </c>
      <c r="E2">
        <v>50206</v>
      </c>
      <c r="F2">
        <v>12519</v>
      </c>
      <c r="G2" t="s">
        <v>72</v>
      </c>
      <c r="H2">
        <v>13</v>
      </c>
      <c r="I2" t="s">
        <v>90</v>
      </c>
      <c r="J2" t="s">
        <v>73</v>
      </c>
      <c r="K2">
        <v>4019477</v>
      </c>
      <c r="L2" t="s">
        <v>91</v>
      </c>
      <c r="M2" t="s">
        <v>92</v>
      </c>
      <c r="N2" t="s">
        <v>75</v>
      </c>
      <c r="O2">
        <v>100</v>
      </c>
      <c r="P2" t="s">
        <v>93</v>
      </c>
      <c r="Q2">
        <v>4019477</v>
      </c>
      <c r="R2" t="s">
        <v>91</v>
      </c>
      <c r="S2">
        <v>100</v>
      </c>
      <c r="U2">
        <v>1</v>
      </c>
      <c r="V2">
        <v>100</v>
      </c>
      <c r="W2" t="s">
        <v>94</v>
      </c>
      <c r="X2" t="s">
        <v>95</v>
      </c>
      <c r="Z2" t="s">
        <v>81</v>
      </c>
      <c r="AA2" t="s">
        <v>96</v>
      </c>
    </row>
    <row r="3" spans="1:27" x14ac:dyDescent="0.25">
      <c r="A3" t="s">
        <v>97</v>
      </c>
      <c r="B3" s="1">
        <v>44743</v>
      </c>
      <c r="C3" t="s">
        <v>88</v>
      </c>
      <c r="D3" s="8" t="s">
        <v>89</v>
      </c>
      <c r="E3">
        <v>50206</v>
      </c>
      <c r="F3">
        <v>12519</v>
      </c>
      <c r="G3" t="s">
        <v>72</v>
      </c>
      <c r="H3">
        <v>13</v>
      </c>
      <c r="I3" t="s">
        <v>90</v>
      </c>
      <c r="J3" t="s">
        <v>73</v>
      </c>
      <c r="K3">
        <v>4019478</v>
      </c>
      <c r="L3" t="s">
        <v>98</v>
      </c>
      <c r="M3" t="s">
        <v>92</v>
      </c>
      <c r="N3" t="s">
        <v>75</v>
      </c>
      <c r="O3">
        <v>11891.04</v>
      </c>
      <c r="P3" t="s">
        <v>93</v>
      </c>
      <c r="Q3">
        <v>4019478</v>
      </c>
      <c r="R3" t="s">
        <v>98</v>
      </c>
      <c r="S3">
        <v>11891.04</v>
      </c>
      <c r="U3">
        <v>1</v>
      </c>
      <c r="V3">
        <v>11891.04</v>
      </c>
      <c r="W3" t="s">
        <v>94</v>
      </c>
      <c r="X3" t="s">
        <v>95</v>
      </c>
      <c r="Z3" t="s">
        <v>81</v>
      </c>
      <c r="AA3" t="s">
        <v>96</v>
      </c>
    </row>
    <row r="4" spans="1:27" x14ac:dyDescent="0.25">
      <c r="A4" t="s">
        <v>99</v>
      </c>
      <c r="B4" s="1">
        <v>44743</v>
      </c>
      <c r="C4" t="s">
        <v>88</v>
      </c>
      <c r="D4" s="8" t="s">
        <v>89</v>
      </c>
      <c r="E4">
        <v>50206</v>
      </c>
      <c r="F4">
        <v>12519</v>
      </c>
      <c r="G4" t="s">
        <v>72</v>
      </c>
      <c r="H4">
        <v>13</v>
      </c>
      <c r="I4" t="s">
        <v>100</v>
      </c>
      <c r="J4" t="s">
        <v>73</v>
      </c>
      <c r="K4">
        <v>4019479</v>
      </c>
      <c r="L4" t="s">
        <v>101</v>
      </c>
      <c r="M4" t="s">
        <v>102</v>
      </c>
      <c r="N4" t="s">
        <v>75</v>
      </c>
      <c r="O4">
        <v>50</v>
      </c>
      <c r="S4">
        <v>50</v>
      </c>
      <c r="U4">
        <v>1</v>
      </c>
      <c r="V4">
        <v>50</v>
      </c>
      <c r="Z4" t="s">
        <v>81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301F8-BA40-4600-A5F2-AEAB0EFDF858}">
  <dimension ref="A3:H12"/>
  <sheetViews>
    <sheetView workbookViewId="0"/>
  </sheetViews>
  <sheetFormatPr baseColWidth="10" defaultRowHeight="15" x14ac:dyDescent="0.25"/>
  <cols>
    <col min="1" max="1" width="31.28515625" bestFit="1" customWidth="1"/>
    <col min="2" max="2" width="22.42578125" bestFit="1" customWidth="1"/>
    <col min="3" max="3" width="17" bestFit="1" customWidth="1"/>
    <col min="4" max="4" width="12.5703125" bestFit="1" customWidth="1"/>
    <col min="5" max="5" width="20.140625" bestFit="1" customWidth="1"/>
    <col min="6" max="7" width="18.5703125" bestFit="1" customWidth="1"/>
    <col min="8" max="8" width="12.5703125" bestFit="1" customWidth="1"/>
  </cols>
  <sheetData>
    <row r="3" spans="1:8" x14ac:dyDescent="0.25">
      <c r="A3" s="3" t="s">
        <v>86</v>
      </c>
      <c r="F3" s="3" t="s">
        <v>63</v>
      </c>
    </row>
    <row r="4" spans="1:8" x14ac:dyDescent="0.25">
      <c r="A4" s="3" t="s">
        <v>51</v>
      </c>
      <c r="B4" s="3" t="s">
        <v>52</v>
      </c>
      <c r="C4" s="3" t="s">
        <v>54</v>
      </c>
      <c r="D4" s="3" t="s">
        <v>62</v>
      </c>
      <c r="E4" s="3" t="s">
        <v>64</v>
      </c>
      <c r="F4" t="s">
        <v>125</v>
      </c>
      <c r="G4" t="s">
        <v>110</v>
      </c>
      <c r="H4" t="s">
        <v>84</v>
      </c>
    </row>
    <row r="5" spans="1:8" x14ac:dyDescent="0.25">
      <c r="A5" t="s">
        <v>105</v>
      </c>
      <c r="B5">
        <v>50206</v>
      </c>
      <c r="C5" s="9">
        <v>44771</v>
      </c>
      <c r="D5" t="s">
        <v>109</v>
      </c>
      <c r="E5" t="s">
        <v>147</v>
      </c>
      <c r="F5" s="7">
        <v>1167</v>
      </c>
      <c r="G5" s="7">
        <v>6566</v>
      </c>
      <c r="H5" s="7">
        <v>7733</v>
      </c>
    </row>
    <row r="6" spans="1:8" x14ac:dyDescent="0.25">
      <c r="A6" t="s">
        <v>105</v>
      </c>
      <c r="B6">
        <v>50206</v>
      </c>
      <c r="C6" s="9">
        <v>44771</v>
      </c>
      <c r="D6" t="s">
        <v>148</v>
      </c>
      <c r="F6" s="7">
        <v>1167</v>
      </c>
      <c r="G6" s="7">
        <v>6566</v>
      </c>
      <c r="H6" s="7">
        <v>7733</v>
      </c>
    </row>
    <row r="7" spans="1:8" x14ac:dyDescent="0.25">
      <c r="A7" t="s">
        <v>105</v>
      </c>
      <c r="B7">
        <v>50206</v>
      </c>
      <c r="C7" s="9">
        <v>44771</v>
      </c>
      <c r="D7" t="s">
        <v>124</v>
      </c>
      <c r="E7" t="s">
        <v>147</v>
      </c>
      <c r="F7" s="7">
        <v>534.16999999999996</v>
      </c>
      <c r="G7" s="7"/>
      <c r="H7" s="7">
        <v>534.16999999999996</v>
      </c>
    </row>
    <row r="8" spans="1:8" x14ac:dyDescent="0.25">
      <c r="A8" t="s">
        <v>105</v>
      </c>
      <c r="B8">
        <v>50206</v>
      </c>
      <c r="C8" s="9">
        <v>44771</v>
      </c>
      <c r="D8" t="s">
        <v>149</v>
      </c>
      <c r="F8" s="7">
        <v>534.16999999999996</v>
      </c>
      <c r="G8" s="7"/>
      <c r="H8" s="7">
        <v>534.16999999999996</v>
      </c>
    </row>
    <row r="9" spans="1:8" x14ac:dyDescent="0.25">
      <c r="A9" t="s">
        <v>105</v>
      </c>
      <c r="B9">
        <v>50206</v>
      </c>
      <c r="C9" s="9" t="s">
        <v>150</v>
      </c>
      <c r="F9" s="7">
        <v>1701.17</v>
      </c>
      <c r="G9" s="7">
        <v>6566</v>
      </c>
      <c r="H9" s="7">
        <v>8267.17</v>
      </c>
    </row>
    <row r="10" spans="1:8" x14ac:dyDescent="0.25">
      <c r="A10" t="s">
        <v>105</v>
      </c>
      <c r="B10" t="s">
        <v>151</v>
      </c>
      <c r="F10" s="7">
        <v>1701.17</v>
      </c>
      <c r="G10" s="7">
        <v>6566</v>
      </c>
      <c r="H10" s="7">
        <v>8267.17</v>
      </c>
    </row>
    <row r="11" spans="1:8" x14ac:dyDescent="0.25">
      <c r="A11" t="s">
        <v>152</v>
      </c>
      <c r="F11" s="7">
        <v>1701.17</v>
      </c>
      <c r="G11" s="7">
        <v>6566</v>
      </c>
      <c r="H11" s="7">
        <v>8267.17</v>
      </c>
    </row>
    <row r="12" spans="1:8" x14ac:dyDescent="0.25">
      <c r="A12" t="s">
        <v>84</v>
      </c>
      <c r="F12" s="7">
        <v>1701.17</v>
      </c>
      <c r="G12" s="7">
        <v>6566</v>
      </c>
      <c r="H12" s="7">
        <v>8267.17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EBB4-F936-40FB-9D8F-9C51A336BC9A}">
  <sheetPr codeName="Hoja5"/>
  <dimension ref="A1:V11"/>
  <sheetViews>
    <sheetView workbookViewId="0">
      <selection sqref="A1:V11"/>
    </sheetView>
  </sheetViews>
  <sheetFormatPr baseColWidth="10" defaultRowHeight="15" x14ac:dyDescent="0.25"/>
  <cols>
    <col min="5" max="5" width="21.7109375" customWidth="1"/>
    <col min="6" max="6" width="20.140625" customWidth="1"/>
    <col min="7" max="7" width="21" customWidth="1"/>
    <col min="8" max="8" width="35.28515625" customWidth="1"/>
    <col min="9" max="9" width="39.85546875" customWidth="1"/>
    <col min="10" max="10" width="17.7109375" customWidth="1"/>
    <col min="11" max="11" width="23" customWidth="1"/>
    <col min="12" max="12" width="19" customWidth="1"/>
    <col min="13" max="13" width="22.42578125" customWidth="1"/>
    <col min="14" max="14" width="17.7109375" customWidth="1"/>
    <col min="15" max="15" width="19.7109375" customWidth="1"/>
    <col min="17" max="17" width="18.42578125" customWidth="1"/>
    <col min="18" max="18" width="15.28515625" customWidth="1"/>
    <col min="19" max="19" width="18.28515625" customWidth="1"/>
    <col min="21" max="21" width="16.42578125" customWidth="1"/>
    <col min="22" max="22" width="13.85546875" customWidth="1"/>
  </cols>
  <sheetData>
    <row r="1" spans="1:22" x14ac:dyDescent="0.25">
      <c r="A1" s="2" t="s">
        <v>50</v>
      </c>
      <c r="B1" s="2" t="s">
        <v>51</v>
      </c>
      <c r="C1" s="2" t="s">
        <v>52</v>
      </c>
      <c r="D1" s="2" t="s">
        <v>53</v>
      </c>
      <c r="E1" s="2" t="s">
        <v>54</v>
      </c>
      <c r="F1" s="2" t="s">
        <v>55</v>
      </c>
      <c r="G1" s="2" t="s">
        <v>56</v>
      </c>
      <c r="H1" s="2" t="s">
        <v>57</v>
      </c>
      <c r="I1" s="2" t="s">
        <v>58</v>
      </c>
      <c r="J1" s="2" t="s">
        <v>59</v>
      </c>
      <c r="K1" s="2" t="s">
        <v>60</v>
      </c>
      <c r="L1" s="2" t="s">
        <v>61</v>
      </c>
      <c r="M1" s="2" t="s">
        <v>62</v>
      </c>
      <c r="N1" s="2" t="s">
        <v>63</v>
      </c>
      <c r="O1" s="2" t="s">
        <v>64</v>
      </c>
      <c r="P1" s="2" t="s">
        <v>11</v>
      </c>
      <c r="Q1" s="2" t="s">
        <v>65</v>
      </c>
      <c r="R1" s="2" t="s">
        <v>66</v>
      </c>
      <c r="S1" s="2" t="s">
        <v>67</v>
      </c>
      <c r="T1" s="2" t="s">
        <v>68</v>
      </c>
      <c r="U1" s="2" t="s">
        <v>69</v>
      </c>
      <c r="V1" s="2" t="s">
        <v>70</v>
      </c>
    </row>
    <row r="2" spans="1:22" x14ac:dyDescent="0.25">
      <c r="A2" t="s">
        <v>104</v>
      </c>
      <c r="B2" t="s">
        <v>105</v>
      </c>
      <c r="C2">
        <v>50206</v>
      </c>
      <c r="D2">
        <v>13</v>
      </c>
      <c r="E2" s="9">
        <v>44771</v>
      </c>
      <c r="F2">
        <v>6902</v>
      </c>
      <c r="G2" s="8" t="s">
        <v>106</v>
      </c>
      <c r="J2" s="8" t="s">
        <v>107</v>
      </c>
      <c r="L2" t="s">
        <v>108</v>
      </c>
      <c r="M2" t="s">
        <v>109</v>
      </c>
      <c r="N2" t="s">
        <v>110</v>
      </c>
      <c r="P2">
        <v>1972</v>
      </c>
      <c r="Q2" s="8" t="s">
        <v>111</v>
      </c>
      <c r="R2" s="8" t="s">
        <v>112</v>
      </c>
      <c r="S2" t="s">
        <v>113</v>
      </c>
      <c r="T2" t="s">
        <v>114</v>
      </c>
      <c r="V2" t="s">
        <v>115</v>
      </c>
    </row>
    <row r="3" spans="1:22" x14ac:dyDescent="0.25">
      <c r="A3" t="s">
        <v>104</v>
      </c>
      <c r="B3" t="s">
        <v>105</v>
      </c>
      <c r="C3">
        <v>50206</v>
      </c>
      <c r="D3">
        <v>13</v>
      </c>
      <c r="E3" s="9">
        <v>44771</v>
      </c>
      <c r="F3">
        <v>6939</v>
      </c>
      <c r="G3" s="8" t="s">
        <v>116</v>
      </c>
      <c r="J3" s="8" t="s">
        <v>117</v>
      </c>
      <c r="L3" t="s">
        <v>108</v>
      </c>
      <c r="M3" t="s">
        <v>109</v>
      </c>
      <c r="N3" t="s">
        <v>110</v>
      </c>
      <c r="P3">
        <v>797</v>
      </c>
      <c r="Q3" s="8" t="s">
        <v>118</v>
      </c>
      <c r="R3" s="8" t="s">
        <v>112</v>
      </c>
      <c r="S3" t="s">
        <v>119</v>
      </c>
      <c r="T3" t="s">
        <v>120</v>
      </c>
      <c r="V3" t="s">
        <v>121</v>
      </c>
    </row>
    <row r="4" spans="1:22" x14ac:dyDescent="0.25">
      <c r="A4" t="s">
        <v>104</v>
      </c>
      <c r="B4" t="s">
        <v>105</v>
      </c>
      <c r="C4">
        <v>50206</v>
      </c>
      <c r="D4">
        <v>13</v>
      </c>
      <c r="E4" s="9">
        <v>44771</v>
      </c>
      <c r="F4">
        <v>6906</v>
      </c>
      <c r="G4" s="8" t="s">
        <v>122</v>
      </c>
      <c r="J4" s="8" t="s">
        <v>123</v>
      </c>
      <c r="L4" t="s">
        <v>108</v>
      </c>
      <c r="M4" t="s">
        <v>124</v>
      </c>
      <c r="N4" t="s">
        <v>125</v>
      </c>
      <c r="P4">
        <v>197.17</v>
      </c>
      <c r="Q4" s="8" t="s">
        <v>112</v>
      </c>
      <c r="R4" s="8" t="s">
        <v>112</v>
      </c>
      <c r="S4" t="s">
        <v>126</v>
      </c>
    </row>
    <row r="5" spans="1:22" x14ac:dyDescent="0.25">
      <c r="A5" t="s">
        <v>104</v>
      </c>
      <c r="B5" t="s">
        <v>105</v>
      </c>
      <c r="C5">
        <v>50206</v>
      </c>
      <c r="D5">
        <v>13</v>
      </c>
      <c r="E5" s="9">
        <v>44771</v>
      </c>
      <c r="F5">
        <v>6921</v>
      </c>
      <c r="G5" s="8" t="s">
        <v>127</v>
      </c>
      <c r="J5" s="8" t="s">
        <v>128</v>
      </c>
      <c r="L5" t="s">
        <v>108</v>
      </c>
      <c r="M5" t="s">
        <v>124</v>
      </c>
      <c r="N5" t="s">
        <v>125</v>
      </c>
      <c r="P5">
        <v>25</v>
      </c>
      <c r="Q5" s="8" t="s">
        <v>112</v>
      </c>
      <c r="R5" s="8" t="s">
        <v>112</v>
      </c>
    </row>
    <row r="6" spans="1:22" x14ac:dyDescent="0.25">
      <c r="A6" t="s">
        <v>104</v>
      </c>
      <c r="B6" t="s">
        <v>105</v>
      </c>
      <c r="C6">
        <v>50206</v>
      </c>
      <c r="D6">
        <v>13</v>
      </c>
      <c r="E6" s="9">
        <v>44771</v>
      </c>
      <c r="F6">
        <v>6930</v>
      </c>
      <c r="G6" s="8" t="s">
        <v>129</v>
      </c>
      <c r="J6" s="8" t="s">
        <v>130</v>
      </c>
      <c r="L6" t="s">
        <v>108</v>
      </c>
      <c r="M6" t="s">
        <v>109</v>
      </c>
      <c r="N6" t="s">
        <v>125</v>
      </c>
      <c r="P6">
        <v>747</v>
      </c>
      <c r="Q6" s="8" t="s">
        <v>131</v>
      </c>
      <c r="R6" s="8" t="s">
        <v>112</v>
      </c>
      <c r="S6" t="s">
        <v>132</v>
      </c>
    </row>
    <row r="7" spans="1:22" x14ac:dyDescent="0.25">
      <c r="A7" t="s">
        <v>104</v>
      </c>
      <c r="B7" t="s">
        <v>105</v>
      </c>
      <c r="C7">
        <v>50206</v>
      </c>
      <c r="D7">
        <v>13</v>
      </c>
      <c r="E7" s="9">
        <v>44771</v>
      </c>
      <c r="F7">
        <v>6911</v>
      </c>
      <c r="G7" s="8" t="s">
        <v>133</v>
      </c>
      <c r="J7" s="8" t="s">
        <v>134</v>
      </c>
      <c r="L7" t="s">
        <v>108</v>
      </c>
      <c r="M7" t="s">
        <v>109</v>
      </c>
      <c r="N7" t="s">
        <v>110</v>
      </c>
      <c r="P7">
        <v>597</v>
      </c>
      <c r="Q7" s="8" t="s">
        <v>135</v>
      </c>
      <c r="R7" s="8" t="s">
        <v>112</v>
      </c>
      <c r="S7" t="s">
        <v>136</v>
      </c>
      <c r="T7" t="s">
        <v>120</v>
      </c>
      <c r="V7" t="s">
        <v>121</v>
      </c>
    </row>
    <row r="8" spans="1:22" x14ac:dyDescent="0.25">
      <c r="A8" t="s">
        <v>104</v>
      </c>
      <c r="B8" t="s">
        <v>105</v>
      </c>
      <c r="C8">
        <v>50206</v>
      </c>
      <c r="D8">
        <v>13</v>
      </c>
      <c r="E8" s="9">
        <v>44771</v>
      </c>
      <c r="F8">
        <v>6911</v>
      </c>
      <c r="G8" s="8" t="s">
        <v>133</v>
      </c>
      <c r="J8" s="8" t="s">
        <v>134</v>
      </c>
      <c r="L8" t="s">
        <v>108</v>
      </c>
      <c r="M8" t="s">
        <v>109</v>
      </c>
      <c r="N8" t="s">
        <v>110</v>
      </c>
      <c r="P8">
        <v>3200</v>
      </c>
      <c r="Q8" s="8" t="s">
        <v>135</v>
      </c>
      <c r="R8" s="8" t="s">
        <v>112</v>
      </c>
      <c r="S8" t="s">
        <v>136</v>
      </c>
      <c r="T8" t="s">
        <v>120</v>
      </c>
      <c r="V8" t="s">
        <v>137</v>
      </c>
    </row>
    <row r="9" spans="1:22" x14ac:dyDescent="0.25">
      <c r="A9" t="s">
        <v>104</v>
      </c>
      <c r="B9" t="s">
        <v>105</v>
      </c>
      <c r="C9">
        <v>50206</v>
      </c>
      <c r="D9">
        <v>13</v>
      </c>
      <c r="E9" s="9">
        <v>44771</v>
      </c>
      <c r="F9">
        <v>6896</v>
      </c>
      <c r="G9" s="8" t="s">
        <v>138</v>
      </c>
      <c r="J9" s="8" t="s">
        <v>139</v>
      </c>
      <c r="L9" t="s">
        <v>108</v>
      </c>
      <c r="M9" t="s">
        <v>109</v>
      </c>
      <c r="N9" t="s">
        <v>125</v>
      </c>
      <c r="P9">
        <v>420</v>
      </c>
      <c r="Q9" s="8" t="s">
        <v>140</v>
      </c>
      <c r="R9" s="8" t="s">
        <v>112</v>
      </c>
      <c r="S9" t="s">
        <v>141</v>
      </c>
    </row>
    <row r="10" spans="1:22" x14ac:dyDescent="0.25">
      <c r="A10" t="s">
        <v>104</v>
      </c>
      <c r="B10" t="s">
        <v>105</v>
      </c>
      <c r="C10">
        <v>50206</v>
      </c>
      <c r="D10">
        <v>13</v>
      </c>
      <c r="E10" s="9">
        <v>44771</v>
      </c>
      <c r="F10">
        <v>6932</v>
      </c>
      <c r="G10" s="8" t="s">
        <v>142</v>
      </c>
      <c r="J10" s="8" t="s">
        <v>143</v>
      </c>
      <c r="L10" t="s">
        <v>108</v>
      </c>
      <c r="M10" t="s">
        <v>124</v>
      </c>
      <c r="N10" t="s">
        <v>125</v>
      </c>
      <c r="P10">
        <v>25</v>
      </c>
      <c r="Q10" s="8" t="s">
        <v>112</v>
      </c>
      <c r="R10" s="8" t="s">
        <v>112</v>
      </c>
    </row>
    <row r="11" spans="1:22" x14ac:dyDescent="0.25">
      <c r="A11" t="s">
        <v>104</v>
      </c>
      <c r="B11" t="s">
        <v>105</v>
      </c>
      <c r="C11">
        <v>50206</v>
      </c>
      <c r="D11">
        <v>13</v>
      </c>
      <c r="E11" s="9">
        <v>44771</v>
      </c>
      <c r="F11">
        <v>6936</v>
      </c>
      <c r="G11" s="8" t="s">
        <v>144</v>
      </c>
      <c r="J11" s="8" t="s">
        <v>145</v>
      </c>
      <c r="L11" t="s">
        <v>108</v>
      </c>
      <c r="M11" t="s">
        <v>124</v>
      </c>
      <c r="N11" t="s">
        <v>125</v>
      </c>
      <c r="P11">
        <v>287</v>
      </c>
      <c r="Q11" s="8" t="s">
        <v>112</v>
      </c>
      <c r="R11" s="8" t="s">
        <v>112</v>
      </c>
      <c r="S11" t="s">
        <v>146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Cierre</vt:lpstr>
      <vt:lpstr>tblTarjetas</vt:lpstr>
      <vt:lpstr>Tarjetas</vt:lpstr>
      <vt:lpstr>tblDepositos</vt:lpstr>
      <vt:lpstr>Depositos</vt:lpstr>
      <vt:lpstr>tblTransaccional</vt:lpstr>
      <vt:lpstr>Transaccional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Adolfo Coronado Gomez</dc:creator>
  <cp:lastModifiedBy>Cristian Adolfo Coronado Gomez</cp:lastModifiedBy>
  <dcterms:created xsi:type="dcterms:W3CDTF">2015-06-05T18:19:34Z</dcterms:created>
  <dcterms:modified xsi:type="dcterms:W3CDTF">2022-08-01T16:05:53Z</dcterms:modified>
</cp:coreProperties>
</file>